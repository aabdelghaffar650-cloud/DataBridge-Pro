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frienders\Q2\"/>
    </mc:Choice>
  </mc:AlternateContent>
  <xr:revisionPtr revIDLastSave="0" documentId="8_{E60FDB97-23C0-48E2-96C9-4966FB03A2FA}" xr6:coauthVersionLast="47" xr6:coauthVersionMax="47" xr10:uidLastSave="{00000000-0000-0000-0000-000000000000}"/>
  <bookViews>
    <workbookView xWindow="-108" yWindow="-108" windowWidth="23256" windowHeight="12456" xr2:uid="{A668DFD5-D94D-4330-98F4-EA68759FF4DC}"/>
  </bookViews>
  <sheets>
    <sheet name="يونيو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" i="1" l="1"/>
  <c r="C29" i="1"/>
  <c r="C28" i="1"/>
  <c r="C25" i="1"/>
  <c r="C24" i="1"/>
  <c r="C23" i="1"/>
  <c r="C22" i="1"/>
  <c r="C21" i="1"/>
  <c r="C20" i="1"/>
  <c r="E19" i="1"/>
  <c r="D19" i="1"/>
  <c r="C19" i="1"/>
  <c r="E18" i="1"/>
  <c r="D18" i="1"/>
  <c r="C18" i="1"/>
  <c r="E17" i="1"/>
  <c r="D17" i="1"/>
  <c r="C17" i="1"/>
  <c r="C13" i="1"/>
  <c r="C12" i="1"/>
  <c r="C11" i="1"/>
  <c r="C10" i="1"/>
  <c r="C9" i="1"/>
  <c r="C8" i="1"/>
  <c r="C7" i="1"/>
  <c r="C6" i="1"/>
  <c r="E5" i="1"/>
  <c r="D5" i="1"/>
  <c r="C5" i="1"/>
</calcChain>
</file>

<file path=xl/sharedStrings.xml><?xml version="1.0" encoding="utf-8"?>
<sst xmlns="http://schemas.openxmlformats.org/spreadsheetml/2006/main" count="34" uniqueCount="30">
  <si>
    <t>ملخص مؤشرات برنامج Be Frienders</t>
  </si>
  <si>
    <t>شهر يونيو 2026</t>
  </si>
  <si>
    <t>البيان</t>
  </si>
  <si>
    <t>الإجمالي</t>
  </si>
  <si>
    <t>رجال</t>
  </si>
  <si>
    <t>سيدات</t>
  </si>
  <si>
    <t>إجمالي الزوار</t>
  </si>
  <si>
    <t>إجمالي الوصول</t>
  </si>
  <si>
    <t>إجمالي التحاليل</t>
  </si>
  <si>
    <t>أعداد إيجابي تحليل سريع</t>
  </si>
  <si>
    <t>أعداد إيجابي تحليل تأكيدي</t>
  </si>
  <si>
    <t>أعداد متابعة</t>
  </si>
  <si>
    <t>أعداد تحليل متابعة</t>
  </si>
  <si>
    <t>أعداد إيجابي متابعة تحليل سريع</t>
  </si>
  <si>
    <t>إجمالي إيجابي متابعة تحليل تأكيدي</t>
  </si>
  <si>
    <t>توزيع أدوات الوقاية</t>
  </si>
  <si>
    <t>إجمالي توزيع سرنجات زوار</t>
  </si>
  <si>
    <t>إجمالي توزيع واقيات زوار</t>
  </si>
  <si>
    <t>إجمالي توزيع مزلقات زوار</t>
  </si>
  <si>
    <t>إجمالي توزيع سرنجات أول مرة</t>
  </si>
  <si>
    <t>إجمالي توزيع واقيات أول مرة</t>
  </si>
  <si>
    <t>إجمالي توزيع مزلقات أول مرة</t>
  </si>
  <si>
    <t>إجمالي توزيع سرنجات متابعة</t>
  </si>
  <si>
    <t>إجمالي توزيع واقيات متابعة</t>
  </si>
  <si>
    <t>إجمالي توزيع مزلقات متابعة</t>
  </si>
  <si>
    <t>الخدمات والإحالات</t>
  </si>
  <si>
    <t>حالات دعم نفسي</t>
  </si>
  <si>
    <t>حالات إحالة طبية</t>
  </si>
  <si>
    <t>حالات إحالة ميثادون</t>
  </si>
  <si>
    <t>ملاحظة: إجمالي الزوار = الوصول + المتابعة، وإجمالي توزيع الزوار = توزيع أول مرة + توزيع المتابعة.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</si>
</sst>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7F6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0" fontId="7" fillId="10" borderId="0" xfId="0" applyFont="1" applyFill="1" applyAlignment="1">
      <alignment horizontal="righ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CAEC-BAA6-49DE-B8A7-4DA9F864A20E}">
  <sheetPr>
    <pageSetUpPr fitToPage="1"/>
  </sheetPr>
  <dimension ref="B1:E32"/>
  <sheetViews>
    <sheetView showGridLines="0" rightToLeft="1" tabSelected="1" workbookViewId="0">
      <selection activeCell="G19" sqref="G19"/>
    </sheetView>
  </sheetViews>
  <sheetFormatPr defaultRowHeight="14.4" x14ac:dyDescent="0.3"/>
  <cols>
    <col min="2" max="2" width="38.6640625" style="17" customWidth="1"/>
    <col min="3" max="5" width="14.6640625" customWidth="1"/>
  </cols>
  <sheetData>
    <row r="1" spans="2:5" ht="28.05" customHeight="1" x14ac:dyDescent="0.3">
      <c r="B1" s="1" t="s">
        <v>0</v>
      </c>
      <c r="C1" s="1"/>
      <c r="D1" s="1"/>
      <c r="E1" s="1"/>
    </row>
    <row r="2" spans="2:5" ht="22.05" customHeight="1" x14ac:dyDescent="0.3">
      <c r="B2" s="2" t="s">
        <v>1</v>
      </c>
      <c r="C2" s="2"/>
      <c r="D2" s="2"/>
      <c r="E2" s="2"/>
    </row>
    <row r="4" spans="2:5" x14ac:dyDescent="0.3">
      <c r="B4" s="3" t="s">
        <v>2</v>
      </c>
      <c r="C4" s="3" t="s">
        <v>3</v>
      </c>
      <c r="D4" s="3" t="s">
        <v>4</v>
      </c>
      <c r="E4" s="3" t="s">
        <v>5</v>
      </c>
    </row>
    <row r="5" spans="2:5" ht="22.05" customHeight="1" x14ac:dyDescent="0.3">
      <c r="B5" s="4" t="s">
        <v>6</v>
      </c>
      <c r="C5" s="5">
        <f t="shared" ref="C5:C13" si="0">SUM(D5:E5)</f>
        <v>187</v>
      </c>
      <c r="D5" s="6">
        <f>D6+D10</f>
        <v>168</v>
      </c>
      <c r="E5" s="6">
        <f>E6+E10</f>
        <v>19</v>
      </c>
    </row>
    <row r="6" spans="2:5" ht="22.05" customHeight="1" x14ac:dyDescent="0.3">
      <c r="B6" s="4" t="s">
        <v>7</v>
      </c>
      <c r="C6" s="5">
        <f t="shared" si="0"/>
        <v>176</v>
      </c>
      <c r="D6" s="6">
        <v>157</v>
      </c>
      <c r="E6" s="6">
        <v>19</v>
      </c>
    </row>
    <row r="7" spans="2:5" ht="22.05" customHeight="1" x14ac:dyDescent="0.3">
      <c r="B7" s="4" t="s">
        <v>8</v>
      </c>
      <c r="C7" s="5">
        <f t="shared" si="0"/>
        <v>176</v>
      </c>
      <c r="D7" s="6">
        <v>157</v>
      </c>
      <c r="E7" s="6">
        <v>19</v>
      </c>
    </row>
    <row r="8" spans="2:5" ht="22.05" customHeight="1" x14ac:dyDescent="0.3">
      <c r="B8" s="4" t="s">
        <v>9</v>
      </c>
      <c r="C8" s="5">
        <f t="shared" si="0"/>
        <v>1</v>
      </c>
      <c r="D8" s="6">
        <v>1</v>
      </c>
      <c r="E8" s="6">
        <v>0</v>
      </c>
    </row>
    <row r="9" spans="2:5" ht="22.05" customHeight="1" x14ac:dyDescent="0.3">
      <c r="B9" s="4" t="s">
        <v>10</v>
      </c>
      <c r="C9" s="5">
        <f t="shared" si="0"/>
        <v>1</v>
      </c>
      <c r="D9" s="6">
        <v>1</v>
      </c>
      <c r="E9" s="6">
        <v>0</v>
      </c>
    </row>
    <row r="10" spans="2:5" ht="22.05" customHeight="1" x14ac:dyDescent="0.3">
      <c r="B10" s="4" t="s">
        <v>11</v>
      </c>
      <c r="C10" s="5">
        <f t="shared" si="0"/>
        <v>11</v>
      </c>
      <c r="D10" s="6">
        <v>11</v>
      </c>
      <c r="E10" s="6">
        <v>0</v>
      </c>
    </row>
    <row r="11" spans="2:5" ht="22.05" customHeight="1" x14ac:dyDescent="0.3">
      <c r="B11" s="4" t="s">
        <v>12</v>
      </c>
      <c r="C11" s="5">
        <f t="shared" si="0"/>
        <v>0</v>
      </c>
      <c r="D11" s="6">
        <v>0</v>
      </c>
      <c r="E11" s="6">
        <v>0</v>
      </c>
    </row>
    <row r="12" spans="2:5" ht="22.05" customHeight="1" x14ac:dyDescent="0.3">
      <c r="B12" s="4" t="s">
        <v>13</v>
      </c>
      <c r="C12" s="5">
        <f t="shared" si="0"/>
        <v>0</v>
      </c>
      <c r="D12" s="6">
        <v>0</v>
      </c>
      <c r="E12" s="6">
        <v>0</v>
      </c>
    </row>
    <row r="13" spans="2:5" ht="22.05" customHeight="1" x14ac:dyDescent="0.3">
      <c r="B13" s="4" t="s">
        <v>14</v>
      </c>
      <c r="C13" s="5">
        <f t="shared" si="0"/>
        <v>0</v>
      </c>
      <c r="D13" s="6">
        <v>0</v>
      </c>
      <c r="E13" s="6">
        <v>0</v>
      </c>
    </row>
    <row r="15" spans="2:5" ht="15.6" x14ac:dyDescent="0.3">
      <c r="B15" s="7" t="s">
        <v>15</v>
      </c>
      <c r="C15" s="7"/>
      <c r="D15" s="7"/>
      <c r="E15" s="7"/>
    </row>
    <row r="16" spans="2:5" x14ac:dyDescent="0.3">
      <c r="B16" s="8" t="s">
        <v>2</v>
      </c>
      <c r="C16" s="8" t="s">
        <v>3</v>
      </c>
      <c r="D16" s="8" t="s">
        <v>4</v>
      </c>
      <c r="E16" s="8" t="s">
        <v>5</v>
      </c>
    </row>
    <row r="17" spans="2:5" ht="22.05" customHeight="1" x14ac:dyDescent="0.3">
      <c r="B17" s="9" t="s">
        <v>16</v>
      </c>
      <c r="C17" s="10">
        <f t="shared" ref="C17:C25" si="1">SUM(D17:E17)</f>
        <v>17480</v>
      </c>
      <c r="D17" s="11">
        <f t="shared" ref="D17:E19" si="2">D20+D23</f>
        <v>15640</v>
      </c>
      <c r="E17" s="11">
        <f t="shared" si="2"/>
        <v>1840</v>
      </c>
    </row>
    <row r="18" spans="2:5" ht="22.05" customHeight="1" x14ac:dyDescent="0.3">
      <c r="B18" s="9" t="s">
        <v>17</v>
      </c>
      <c r="C18" s="10">
        <f t="shared" si="1"/>
        <v>1890</v>
      </c>
      <c r="D18" s="11">
        <f t="shared" si="2"/>
        <v>1655</v>
      </c>
      <c r="E18" s="11">
        <f t="shared" si="2"/>
        <v>235</v>
      </c>
    </row>
    <row r="19" spans="2:5" ht="22.05" customHeight="1" x14ac:dyDescent="0.3">
      <c r="B19" s="9" t="s">
        <v>18</v>
      </c>
      <c r="C19" s="10">
        <f t="shared" si="1"/>
        <v>1045</v>
      </c>
      <c r="D19" s="11">
        <f t="shared" si="2"/>
        <v>944</v>
      </c>
      <c r="E19" s="11">
        <f t="shared" si="2"/>
        <v>101</v>
      </c>
    </row>
    <row r="20" spans="2:5" ht="22.05" customHeight="1" x14ac:dyDescent="0.3">
      <c r="B20" s="9" t="s">
        <v>19</v>
      </c>
      <c r="C20" s="10">
        <f t="shared" si="1"/>
        <v>16100</v>
      </c>
      <c r="D20" s="11">
        <v>14260</v>
      </c>
      <c r="E20" s="11">
        <v>1840</v>
      </c>
    </row>
    <row r="21" spans="2:5" ht="22.05" customHeight="1" x14ac:dyDescent="0.3">
      <c r="B21" s="9" t="s">
        <v>20</v>
      </c>
      <c r="C21" s="10">
        <f t="shared" si="1"/>
        <v>1730</v>
      </c>
      <c r="D21" s="11">
        <v>1495</v>
      </c>
      <c r="E21" s="11">
        <v>235</v>
      </c>
    </row>
    <row r="22" spans="2:5" ht="22.05" customHeight="1" x14ac:dyDescent="0.3">
      <c r="B22" s="9" t="s">
        <v>21</v>
      </c>
      <c r="C22" s="10">
        <f t="shared" si="1"/>
        <v>967</v>
      </c>
      <c r="D22" s="11">
        <v>866</v>
      </c>
      <c r="E22" s="11">
        <v>101</v>
      </c>
    </row>
    <row r="23" spans="2:5" ht="22.05" customHeight="1" x14ac:dyDescent="0.3">
      <c r="B23" s="9" t="s">
        <v>22</v>
      </c>
      <c r="C23" s="10">
        <f t="shared" si="1"/>
        <v>1380</v>
      </c>
      <c r="D23" s="11">
        <v>1380</v>
      </c>
      <c r="E23" s="11">
        <v>0</v>
      </c>
    </row>
    <row r="24" spans="2:5" ht="22.05" customHeight="1" x14ac:dyDescent="0.3">
      <c r="B24" s="9" t="s">
        <v>23</v>
      </c>
      <c r="C24" s="10">
        <f t="shared" si="1"/>
        <v>160</v>
      </c>
      <c r="D24" s="11">
        <v>160</v>
      </c>
      <c r="E24" s="11">
        <v>0</v>
      </c>
    </row>
    <row r="25" spans="2:5" ht="22.05" customHeight="1" x14ac:dyDescent="0.3">
      <c r="B25" s="9" t="s">
        <v>24</v>
      </c>
      <c r="C25" s="10">
        <f t="shared" si="1"/>
        <v>78</v>
      </c>
      <c r="D25" s="11">
        <v>78</v>
      </c>
      <c r="E25" s="11">
        <v>0</v>
      </c>
    </row>
    <row r="27" spans="2:5" ht="15.6" x14ac:dyDescent="0.3">
      <c r="B27" s="12" t="s">
        <v>25</v>
      </c>
      <c r="C27" s="12"/>
      <c r="D27" s="12"/>
      <c r="E27" s="12"/>
    </row>
    <row r="28" spans="2:5" ht="22.05" customHeight="1" x14ac:dyDescent="0.3">
      <c r="B28" s="13" t="s">
        <v>26</v>
      </c>
      <c r="C28" s="14">
        <f>SUM(D28:E28)</f>
        <v>3</v>
      </c>
      <c r="D28" s="15">
        <v>3</v>
      </c>
      <c r="E28" s="15">
        <v>0</v>
      </c>
    </row>
    <row r="29" spans="2:5" ht="22.05" customHeight="1" x14ac:dyDescent="0.3">
      <c r="B29" s="13" t="s">
        <v>27</v>
      </c>
      <c r="C29" s="14">
        <f>SUM(D29:E29)</f>
        <v>2</v>
      </c>
      <c r="D29" s="15">
        <v>2</v>
      </c>
      <c r="E29" s="15">
        <v>0</v>
      </c>
    </row>
    <row r="30" spans="2:5" ht="22.05" customHeight="1" x14ac:dyDescent="0.3">
      <c r="B30" s="13" t="s">
        <v>28</v>
      </c>
      <c r="C30" s="14">
        <f>SUM(D30:E30)</f>
        <v>0</v>
      </c>
      <c r="D30" s="15">
        <v>0</v>
      </c>
      <c r="E30" s="15">
        <v>0</v>
      </c>
    </row>
    <row r="32" spans="2:5" ht="34.049999999999997" customHeight="1" x14ac:dyDescent="0.3">
      <c r="B32" s="16" t="s">
        <v>29</v>
      </c>
      <c r="C32" s="16"/>
      <c r="D32" s="16"/>
      <c r="E32" s="16"/>
    </row>
  </sheetData>
  <mergeCells count="5">
    <mergeCell ref="B1:E1"/>
    <mergeCell ref="B2:E2"/>
    <mergeCell ref="B15:E15"/>
    <mergeCell ref="B27:E27"/>
    <mergeCell ref="B32:E32"/>
  </mergeCells>
  <pageMargins left="0.3" right="0.3" top="0.5" bottom="0.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يونيو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abd_elghaffar</dc:creator>
  <cp:lastModifiedBy>ahmed abd_elghaffar</cp:lastModifiedBy>
  <dcterms:created xsi:type="dcterms:W3CDTF">2026-07-08T18:21:17Z</dcterms:created>
  <dcterms:modified xsi:type="dcterms:W3CDTF">2026-07-08T18:21:40Z</dcterms:modified>
</cp:coreProperties>
</file>