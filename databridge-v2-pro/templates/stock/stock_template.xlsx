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efrienders\شهر 7\"/>
    </mc:Choice>
  </mc:AlternateContent>
  <xr:revisionPtr revIDLastSave="0" documentId="13_ncr:1_{E9D872B7-95DE-4949-A484-DAD6EA4551E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سجل المخزن" sheetId="1" r:id="rId1"/>
    <sheet name="التقرير الشهري" sheetId="2" r:id="rId2"/>
    <sheet name="Sheet2" sheetId="12" state="hidden" r:id="rId3"/>
    <sheet name="Sheet3" sheetId="1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2" l="1"/>
  <c r="L11" i="2"/>
  <c r="K11" i="2"/>
  <c r="H11" i="2"/>
  <c r="K10" i="2"/>
  <c r="L10" i="2" s="1"/>
  <c r="M10" i="2" s="1"/>
  <c r="H10" i="2"/>
  <c r="D9" i="2"/>
  <c r="C9" i="2"/>
  <c r="D8" i="2"/>
  <c r="C8" i="2"/>
  <c r="D7" i="2"/>
  <c r="C7" i="2"/>
  <c r="E6" i="2"/>
  <c r="K6" i="2" s="1"/>
  <c r="L6" i="2" s="1"/>
  <c r="D6" i="2"/>
  <c r="C6" i="2"/>
  <c r="D5" i="2"/>
  <c r="C5" i="2"/>
  <c r="C4" i="2"/>
  <c r="W26" i="1"/>
  <c r="E9" i="2" s="1"/>
  <c r="K9" i="2" s="1"/>
  <c r="L9" i="2" s="1"/>
  <c r="V26" i="1"/>
  <c r="E8" i="2" s="1"/>
  <c r="U26" i="1"/>
  <c r="T26" i="1"/>
  <c r="S26" i="1"/>
  <c r="R26" i="1"/>
  <c r="E4" i="2" s="1"/>
  <c r="K4" i="2" s="1"/>
  <c r="L4" i="2" s="1"/>
  <c r="Q26" i="1"/>
  <c r="E7" i="2" s="1"/>
  <c r="K7" i="2" s="1"/>
  <c r="L7" i="2" s="1"/>
  <c r="P26" i="1"/>
  <c r="O26" i="1"/>
  <c r="E5" i="2" s="1"/>
  <c r="K5" i="2" s="1"/>
  <c r="L5" i="2" s="1"/>
  <c r="N26" i="1"/>
  <c r="M26" i="1"/>
  <c r="L26" i="1"/>
  <c r="K26" i="1"/>
  <c r="J26" i="1"/>
  <c r="I26" i="1"/>
  <c r="AC24" i="1"/>
  <c r="H25" i="1" s="1"/>
  <c r="AC25" i="1" s="1"/>
  <c r="AB7" i="1"/>
  <c r="G8" i="1" s="1"/>
  <c r="AB8" i="1" s="1"/>
  <c r="G9" i="1" s="1"/>
  <c r="AB9" i="1" s="1"/>
  <c r="G10" i="1" s="1"/>
  <c r="AB10" i="1" s="1"/>
  <c r="G11" i="1" s="1"/>
  <c r="AB11" i="1" s="1"/>
  <c r="G12" i="1" s="1"/>
  <c r="AB12" i="1" s="1"/>
  <c r="G13" i="1" s="1"/>
  <c r="AB13" i="1" s="1"/>
  <c r="G14" i="1" s="1"/>
  <c r="AB14" i="1" s="1"/>
  <c r="G15" i="1" s="1"/>
  <c r="AB15" i="1" s="1"/>
  <c r="G16" i="1" s="1"/>
  <c r="AB16" i="1" s="1"/>
  <c r="G17" i="1" s="1"/>
  <c r="AB17" i="1" s="1"/>
  <c r="G18" i="1" s="1"/>
  <c r="AB18" i="1" s="1"/>
  <c r="G19" i="1" s="1"/>
  <c r="AB19" i="1" s="1"/>
  <c r="G20" i="1" s="1"/>
  <c r="AB20" i="1" s="1"/>
  <c r="G21" i="1" s="1"/>
  <c r="AB21" i="1" s="1"/>
  <c r="G22" i="1" s="1"/>
  <c r="AB22" i="1" s="1"/>
  <c r="G23" i="1" s="1"/>
  <c r="AB23" i="1" s="1"/>
  <c r="G24" i="1" s="1"/>
  <c r="AB24" i="1" s="1"/>
  <c r="G25" i="1" s="1"/>
  <c r="AB25" i="1" s="1"/>
  <c r="F7" i="1"/>
  <c r="AA7" i="1" s="1"/>
  <c r="F8" i="1" s="1"/>
  <c r="AA8" i="1" s="1"/>
  <c r="F9" i="1" s="1"/>
  <c r="AA9" i="1" s="1"/>
  <c r="F10" i="1" s="1"/>
  <c r="AA10" i="1" s="1"/>
  <c r="F11" i="1" s="1"/>
  <c r="AA11" i="1" s="1"/>
  <c r="F12" i="1" s="1"/>
  <c r="AA12" i="1" s="1"/>
  <c r="F13" i="1" s="1"/>
  <c r="AA13" i="1" s="1"/>
  <c r="F14" i="1" s="1"/>
  <c r="AA14" i="1" s="1"/>
  <c r="F15" i="1" s="1"/>
  <c r="AA15" i="1" s="1"/>
  <c r="F16" i="1" s="1"/>
  <c r="AA16" i="1" s="1"/>
  <c r="F17" i="1" s="1"/>
  <c r="AA17" i="1" s="1"/>
  <c r="F18" i="1" s="1"/>
  <c r="AA18" i="1" s="1"/>
  <c r="F19" i="1" s="1"/>
  <c r="AA19" i="1" s="1"/>
  <c r="F20" i="1" s="1"/>
  <c r="AA20" i="1" s="1"/>
  <c r="F21" i="1" s="1"/>
  <c r="AA21" i="1" s="1"/>
  <c r="E7" i="1"/>
  <c r="Z7" i="1" s="1"/>
  <c r="E8" i="1" s="1"/>
  <c r="Z8" i="1" s="1"/>
  <c r="E9" i="1" s="1"/>
  <c r="Z9" i="1" s="1"/>
  <c r="E10" i="1" s="1"/>
  <c r="Z10" i="1" s="1"/>
  <c r="E11" i="1" s="1"/>
  <c r="Z11" i="1" s="1"/>
  <c r="E12" i="1" s="1"/>
  <c r="Z12" i="1" s="1"/>
  <c r="E13" i="1" s="1"/>
  <c r="Z13" i="1" s="1"/>
  <c r="E14" i="1" s="1"/>
  <c r="Z14" i="1" s="1"/>
  <c r="E15" i="1" s="1"/>
  <c r="Z15" i="1" s="1"/>
  <c r="E16" i="1" s="1"/>
  <c r="Z16" i="1" s="1"/>
  <c r="E17" i="1" s="1"/>
  <c r="Z17" i="1" s="1"/>
  <c r="E18" i="1" s="1"/>
  <c r="Z18" i="1" s="1"/>
  <c r="E19" i="1" s="1"/>
  <c r="Z19" i="1" s="1"/>
  <c r="E20" i="1" s="1"/>
  <c r="Z20" i="1" s="1"/>
  <c r="E21" i="1" s="1"/>
  <c r="Z21" i="1" s="1"/>
  <c r="D7" i="1"/>
  <c r="Y7" i="1" s="1"/>
  <c r="D8" i="1" s="1"/>
  <c r="Y8" i="1" s="1"/>
  <c r="D9" i="1" s="1"/>
  <c r="Y9" i="1" s="1"/>
  <c r="D10" i="1" s="1"/>
  <c r="Y10" i="1" s="1"/>
  <c r="D11" i="1" s="1"/>
  <c r="Y11" i="1" s="1"/>
  <c r="D12" i="1" s="1"/>
  <c r="Y12" i="1" s="1"/>
  <c r="D13" i="1" s="1"/>
  <c r="Y13" i="1" s="1"/>
  <c r="D14" i="1" s="1"/>
  <c r="Y14" i="1" s="1"/>
  <c r="D15" i="1" s="1"/>
  <c r="Y15" i="1" s="1"/>
  <c r="D16" i="1" s="1"/>
  <c r="Y16" i="1" s="1"/>
  <c r="D17" i="1" s="1"/>
  <c r="Y17" i="1" s="1"/>
  <c r="D18" i="1" s="1"/>
  <c r="Y18" i="1" s="1"/>
  <c r="D19" i="1" s="1"/>
  <c r="Y19" i="1" s="1"/>
  <c r="D20" i="1" s="1"/>
  <c r="Y20" i="1" s="1"/>
  <c r="D21" i="1" s="1"/>
  <c r="Y21" i="1" s="1"/>
  <c r="AC6" i="1"/>
  <c r="H7" i="1" s="1"/>
  <c r="AC7" i="1" s="1"/>
  <c r="H8" i="1" s="1"/>
  <c r="AC8" i="1" s="1"/>
  <c r="H9" i="1" s="1"/>
  <c r="AC9" i="1" s="1"/>
  <c r="H10" i="1" s="1"/>
  <c r="AC10" i="1" s="1"/>
  <c r="H11" i="1" s="1"/>
  <c r="AC11" i="1" s="1"/>
  <c r="H12" i="1" s="1"/>
  <c r="AC12" i="1" s="1"/>
  <c r="H13" i="1" s="1"/>
  <c r="AC13" i="1" s="1"/>
  <c r="H14" i="1" s="1"/>
  <c r="AC14" i="1" s="1"/>
  <c r="H15" i="1" s="1"/>
  <c r="AC15" i="1" s="1"/>
  <c r="H16" i="1" s="1"/>
  <c r="AC16" i="1" s="1"/>
  <c r="H17" i="1" s="1"/>
  <c r="AC17" i="1" s="1"/>
  <c r="H18" i="1" s="1"/>
  <c r="AC18" i="1" s="1"/>
  <c r="H19" i="1" s="1"/>
  <c r="AC19" i="1" s="1"/>
  <c r="H20" i="1" s="1"/>
  <c r="AC20" i="1" s="1"/>
  <c r="H21" i="1" s="1"/>
  <c r="AC21" i="1" s="1"/>
  <c r="H22" i="1" s="1"/>
  <c r="AC22" i="1" s="1"/>
  <c r="H23" i="1" s="1"/>
  <c r="AC23" i="1" s="1"/>
  <c r="H24" i="1" s="1"/>
  <c r="AB6" i="1"/>
  <c r="G7" i="1" s="1"/>
  <c r="AA6" i="1"/>
  <c r="Z6" i="1"/>
  <c r="Y6" i="1"/>
  <c r="X6" i="1"/>
  <c r="C7" i="1" s="1"/>
  <c r="X7" i="1" s="1"/>
  <c r="C8" i="1" s="1"/>
  <c r="X8" i="1" s="1"/>
  <c r="C9" i="1" s="1"/>
  <c r="X9" i="1" s="1"/>
  <c r="C10" i="1" s="1"/>
  <c r="X10" i="1" s="1"/>
  <c r="C11" i="1" s="1"/>
  <c r="X11" i="1" s="1"/>
  <c r="C12" i="1" s="1"/>
  <c r="X12" i="1" s="1"/>
  <c r="C13" i="1" s="1"/>
  <c r="X13" i="1" s="1"/>
  <c r="C14" i="1" s="1"/>
  <c r="X14" i="1" s="1"/>
  <c r="C15" i="1" s="1"/>
  <c r="X15" i="1" s="1"/>
  <c r="C16" i="1" s="1"/>
  <c r="X16" i="1" s="1"/>
  <c r="C17" i="1" s="1"/>
  <c r="X17" i="1" s="1"/>
  <c r="C18" i="1" s="1"/>
  <c r="X18" i="1" s="1"/>
  <c r="C19" i="1" s="1"/>
  <c r="X19" i="1" s="1"/>
  <c r="C20" i="1" s="1"/>
  <c r="X20" i="1" s="1"/>
  <c r="C21" i="1" s="1"/>
  <c r="X21" i="1" s="1"/>
  <c r="D22" i="1" l="1"/>
  <c r="Y22" i="1" s="1"/>
  <c r="D23" i="1" s="1"/>
  <c r="Y23" i="1" s="1"/>
  <c r="D24" i="1" s="1"/>
  <c r="Y24" i="1" s="1"/>
  <c r="D25" i="1" s="1"/>
  <c r="Y25" i="1" s="1"/>
  <c r="H5" i="2" s="1"/>
  <c r="J5" i="2" s="1"/>
  <c r="E22" i="1"/>
  <c r="Z22" i="1" s="1"/>
  <c r="E23" i="1" s="1"/>
  <c r="Z23" i="1" s="1"/>
  <c r="E24" i="1" s="1"/>
  <c r="Z24" i="1" s="1"/>
  <c r="E25" i="1" s="1"/>
  <c r="Z25" i="1" s="1"/>
  <c r="H6" i="2" s="1"/>
  <c r="H9" i="2"/>
  <c r="C22" i="1"/>
  <c r="X22" i="1" s="1"/>
  <c r="C23" i="1" s="1"/>
  <c r="X23" i="1" s="1"/>
  <c r="C24" i="1" s="1"/>
  <c r="X24" i="1" s="1"/>
  <c r="C25" i="1" s="1"/>
  <c r="X25" i="1" s="1"/>
  <c r="H4" i="2" s="1"/>
  <c r="J4" i="2" s="1"/>
  <c r="F22" i="1"/>
  <c r="AA22" i="1" s="1"/>
  <c r="F23" i="1" s="1"/>
  <c r="AA23" i="1" s="1"/>
  <c r="F24" i="1" s="1"/>
  <c r="AA24" i="1" s="1"/>
  <c r="F25" i="1" s="1"/>
  <c r="AA25" i="1" s="1"/>
  <c r="H7" i="2" s="1"/>
  <c r="J7" i="2" s="1"/>
  <c r="K8" i="2"/>
  <c r="L8" i="2" s="1"/>
  <c r="H8" i="2"/>
  <c r="J8" i="2" s="1"/>
  <c r="M5" i="2"/>
  <c r="J6" i="2" l="1"/>
  <c r="M6" i="2"/>
  <c r="M8" i="2"/>
  <c r="J9" i="2"/>
  <c r="M9" i="2"/>
  <c r="M4" i="2"/>
  <c r="M7" i="2"/>
</calcChain>
</file>

<file path=xl/sharedStrings.xml><?xml version="1.0" encoding="utf-8"?>
<sst xmlns="http://schemas.openxmlformats.org/spreadsheetml/2006/main" count="61" uniqueCount="35">
  <si>
    <r>
      <rPr>
        <b/>
        <sz val="11"/>
        <color rgb="FF000000"/>
        <rFont val="FreeSans"/>
        <family val="2"/>
      </rPr>
      <t xml:space="preserve">سجل مخزون المستلزمات الصحية  </t>
    </r>
    <r>
      <rPr>
        <b/>
        <sz val="11"/>
        <color rgb="FF000000"/>
        <rFont val="Calibri"/>
        <charset val="1"/>
      </rPr>
      <t xml:space="preserve">( </t>
    </r>
    <r>
      <rPr>
        <b/>
        <sz val="11"/>
        <color rgb="FF000000"/>
        <rFont val="FreeSans"/>
        <family val="2"/>
      </rPr>
      <t xml:space="preserve">الواقي الذكري </t>
    </r>
    <r>
      <rPr>
        <b/>
        <sz val="11"/>
        <color rgb="FF000000"/>
        <rFont val="Calibri"/>
        <charset val="1"/>
      </rPr>
      <t xml:space="preserve">, </t>
    </r>
    <r>
      <rPr>
        <b/>
        <sz val="11"/>
        <color rgb="FF000000"/>
        <rFont val="FreeSans"/>
        <family val="2"/>
      </rPr>
      <t xml:space="preserve">المزلقات الطبية </t>
    </r>
    <r>
      <rPr>
        <b/>
        <sz val="11"/>
        <color rgb="FF000000"/>
        <rFont val="Calibri"/>
        <charset val="1"/>
      </rPr>
      <t xml:space="preserve">, </t>
    </r>
    <r>
      <rPr>
        <b/>
        <sz val="11"/>
        <color rgb="FF000000"/>
        <rFont val="FreeSans"/>
        <family val="2"/>
      </rPr>
      <t>السرنجات</t>
    </r>
    <r>
      <rPr>
        <b/>
        <sz val="11"/>
        <color rgb="FF000000"/>
        <rFont val="Calibri"/>
        <charset val="1"/>
      </rPr>
      <t xml:space="preserve">, </t>
    </r>
    <r>
      <rPr>
        <b/>
        <sz val="11"/>
        <color rgb="FF000000"/>
        <rFont val="FreeSans"/>
        <family val="2"/>
      </rPr>
      <t>اشرطة فحص الايدز</t>
    </r>
    <r>
      <rPr>
        <b/>
        <sz val="11"/>
        <color rgb="FF000000"/>
        <rFont val="Calibri"/>
        <charset val="1"/>
      </rPr>
      <t>)</t>
    </r>
  </si>
  <si>
    <t xml:space="preserve">المخزون </t>
  </si>
  <si>
    <t xml:space="preserve">الكمية الواردة </t>
  </si>
  <si>
    <t>الكمية المتبقية بالمخزن</t>
  </si>
  <si>
    <t xml:space="preserve">فرق الوصول الميداني </t>
  </si>
  <si>
    <r>
      <rPr>
        <b/>
        <sz val="11"/>
        <color rgb="FF000000"/>
        <rFont val="FreeSans"/>
        <family val="2"/>
      </rPr>
      <t>المعمل</t>
    </r>
    <r>
      <rPr>
        <b/>
        <sz val="11"/>
        <color rgb="FF000000"/>
        <rFont val="Calibri"/>
        <charset val="1"/>
      </rPr>
      <t>/</t>
    </r>
    <r>
      <rPr>
        <b/>
        <sz val="11"/>
        <color rgb="FF000000"/>
        <rFont val="FreeSans"/>
        <family val="2"/>
      </rPr>
      <t>غرفة الفحص</t>
    </r>
  </si>
  <si>
    <t>الرقم</t>
  </si>
  <si>
    <t>التاريخ</t>
  </si>
  <si>
    <t>اختبار تشخيص فيروس الايدز</t>
  </si>
  <si>
    <t xml:space="preserve">الواقي الذكري </t>
  </si>
  <si>
    <t>المزلقات الطبية</t>
  </si>
  <si>
    <t>السرنجات</t>
  </si>
  <si>
    <t>اختبار الزهري</t>
  </si>
  <si>
    <t>اختبار الزهري والايدز الثنائي</t>
  </si>
  <si>
    <t>المجموع</t>
  </si>
  <si>
    <t xml:space="preserve">التقرير الشهري </t>
  </si>
  <si>
    <t xml:space="preserve">الصنف </t>
  </si>
  <si>
    <t>التقرير</t>
  </si>
  <si>
    <t>الطلبية</t>
  </si>
  <si>
    <t>الكمية بداية الشهر</t>
  </si>
  <si>
    <t>اجمالي الكمية المستلمة خلال الشهر</t>
  </si>
  <si>
    <t>اجمالي الكمية المستهلكة خلال الشهر</t>
  </si>
  <si>
    <t>الفقد
(في حالة انتهاء صلاحية الصنف اوتوزيع الي جمعية اخري)</t>
  </si>
  <si>
    <t>الاضافة
(في حالة اضافة كمية من جمعية اخري او توفير الصنف من مصادر اخري)</t>
  </si>
  <si>
    <t>الكمية نهاية الشهر بالمخزن</t>
  </si>
  <si>
    <t>الكمية نهاية الشهر( الفرق الميداني-المعمل)</t>
  </si>
  <si>
    <t>مجموع الكمية المتبقية</t>
  </si>
  <si>
    <t>الحد الادني للمخزون ( الكمية المستهلكه خلال الشهر)</t>
  </si>
  <si>
    <t>الحد الأعلي للمخزون   ( الكمية المستهلكه خلال الشهر 4X  )</t>
  </si>
  <si>
    <t>الكمية المطلوبة ( الحد الاعلي - الكمية نهاية الشهر)</t>
  </si>
  <si>
    <t>اشرطة الفحص السريع لفيروس الايدز</t>
  </si>
  <si>
    <t>الواقي الذكري</t>
  </si>
  <si>
    <t>الفحص الذاتي Self-Test</t>
  </si>
  <si>
    <t>ملحوظة*** في حال كان إجمالي الكمية المتبقية بالجمعية أقل من مخزون شهر واحد، يظهر الصنف باللون الأحمر</t>
  </si>
  <si>
    <t>وقاية ما قبل التعرض)PEP)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</si>
</sst>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>
    <font>
      <sz val="11"/>
      <color theme="1"/>
      <name val="Calibri"/>
      <charset val="1"/>
    </font>
    <font>
      <b/>
      <sz val="11"/>
      <color rgb="FF000000"/>
      <name val="FreeSans"/>
      <family val="2"/>
    </font>
    <font>
      <b/>
      <sz val="11"/>
      <color rgb="FF000000"/>
      <name val="Calibri"/>
      <charset val="1"/>
    </font>
    <font>
      <sz val="10"/>
      <color theme="1"/>
      <name val="Calibri"/>
      <charset val="1"/>
    </font>
    <font>
      <sz val="14"/>
      <color theme="1"/>
      <name val="Calibri"/>
      <charset val="1"/>
    </font>
    <font>
      <b/>
      <sz val="10"/>
      <color rgb="FF000000"/>
      <name val="FreeSans"/>
      <family val="2"/>
    </font>
    <font>
      <b/>
      <sz val="10"/>
      <color theme="1"/>
      <name val="Calibri"/>
      <charset val="1"/>
    </font>
    <font>
      <b/>
      <sz val="10"/>
      <color theme="1"/>
      <name val="Times New Roman"/>
      <charset val="1"/>
    </font>
    <font>
      <sz val="10"/>
      <color theme="1"/>
      <name val="Times New Roman"/>
      <charset val="1"/>
    </font>
    <font>
      <b/>
      <sz val="10"/>
      <color theme="1"/>
      <name val="FreeSans"/>
      <family val="2"/>
    </font>
    <font>
      <sz val="11"/>
      <color theme="1"/>
      <name val="FreeSans"/>
      <family val="2"/>
    </font>
    <font>
      <b/>
      <sz val="12"/>
      <color theme="1"/>
      <name val="Traditional Arabic"/>
      <charset val="1"/>
    </font>
    <font>
      <b/>
      <sz val="12"/>
      <color rgb="FFFF0000"/>
      <name val="Traditional Arabic"/>
      <charset val="1"/>
    </font>
  </fonts>
  <fills count="8">
    <fill>
      <patternFill patternType="none"/>
    </fill>
    <fill>
      <patternFill patternType="gray125"/>
    </fill>
    <fill>
      <patternFill patternType="solid">
        <fgColor rgb="FFEAF0DD"/>
        <bgColor rgb="FFFFFFFF"/>
      </patternFill>
    </fill>
    <fill>
      <patternFill patternType="solid">
        <fgColor rgb="FFC2D59B"/>
        <bgColor rgb="FFC5E0B3"/>
      </patternFill>
    </fill>
    <fill>
      <patternFill patternType="solid">
        <fgColor theme="1"/>
        <bgColor rgb="FF003300"/>
      </patternFill>
    </fill>
    <fill>
      <patternFill patternType="solid">
        <fgColor rgb="FFA8D08D"/>
        <bgColor rgb="FFC2D59B"/>
      </patternFill>
    </fill>
    <fill>
      <patternFill patternType="solid">
        <fgColor rgb="FFC5E0B3"/>
        <bgColor rgb="FFC2D59B"/>
      </patternFill>
    </fill>
    <fill>
      <patternFill patternType="solid">
        <fgColor rgb="FFFFE598"/>
        <bgColor rgb="FFFFFF99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1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 readingOrder="2"/>
    </xf>
    <xf numFmtId="0" fontId="0" fillId="0" borderId="8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 readingOrder="2"/>
    </xf>
    <xf numFmtId="0" fontId="8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2D59B"/>
      <rgbColor rgb="FF808080"/>
      <rgbColor rgb="FF9999FF"/>
      <rgbColor rgb="FF993366"/>
      <rgbColor rgb="FFEAF0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FF99"/>
      <rgbColor rgb="FFA8D08D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79"/>
  <sheetViews>
    <sheetView rightToLeft="1" tabSelected="1" topLeftCell="H6" zoomScaleNormal="100" workbookViewId="0">
      <selection sqref="A1:AC26"/>
    </sheetView>
  </sheetViews>
  <sheetFormatPr defaultColWidth="14.44140625" defaultRowHeight="14.4"/>
  <cols>
    <col min="1" max="1" width="3.44140625" customWidth="1"/>
    <col min="2" max="2" width="21.33203125" customWidth="1"/>
    <col min="3" max="3" width="23" customWidth="1"/>
    <col min="4" max="4" width="9.33203125" customWidth="1"/>
    <col min="5" max="6" width="8.6640625" customWidth="1"/>
    <col min="7" max="7" width="17.6640625" customWidth="1"/>
    <col min="8" max="8" width="10.44140625" customWidth="1"/>
    <col min="9" max="16" width="8.6640625" customWidth="1"/>
    <col min="17" max="17" width="11" customWidth="1"/>
    <col min="18" max="27" width="8.6640625" customWidth="1"/>
    <col min="28" max="28" width="13" customWidth="1"/>
    <col min="29" max="33" width="8.6640625" customWidth="1"/>
  </cols>
  <sheetData>
    <row r="1" spans="1:33" ht="1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"/>
      <c r="AE1" s="2"/>
      <c r="AF1" s="2"/>
      <c r="AG1" s="2"/>
    </row>
    <row r="2" spans="1:33" ht="15" customHeight="1">
      <c r="A2" s="3"/>
      <c r="B2" s="4"/>
      <c r="C2" s="27" t="s">
        <v>1</v>
      </c>
      <c r="D2" s="27"/>
      <c r="E2" s="27"/>
      <c r="F2" s="27"/>
      <c r="G2" s="27"/>
      <c r="H2" s="27"/>
      <c r="I2" s="27" t="s">
        <v>2</v>
      </c>
      <c r="J2" s="27"/>
      <c r="K2" s="27"/>
      <c r="L2" s="27"/>
      <c r="M2" s="27"/>
      <c r="N2" s="27"/>
      <c r="O2" s="28"/>
      <c r="P2" s="28"/>
      <c r="Q2" s="28"/>
      <c r="R2" s="28"/>
      <c r="S2" s="28"/>
      <c r="T2" s="28"/>
      <c r="U2" s="28"/>
      <c r="V2" s="28"/>
      <c r="W2" s="28"/>
      <c r="X2" s="27" t="s">
        <v>3</v>
      </c>
      <c r="Y2" s="27"/>
      <c r="Z2" s="27"/>
      <c r="AA2" s="27"/>
      <c r="AB2" s="27"/>
      <c r="AC2" s="27"/>
      <c r="AD2" s="2"/>
      <c r="AE2" s="2"/>
      <c r="AF2" s="2"/>
      <c r="AG2" s="2"/>
    </row>
    <row r="3" spans="1:33" ht="28.5" customHeight="1">
      <c r="A3" s="5"/>
      <c r="B3" s="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 t="s">
        <v>4</v>
      </c>
      <c r="P3" s="27"/>
      <c r="Q3" s="27"/>
      <c r="R3" s="27" t="s">
        <v>5</v>
      </c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"/>
      <c r="AE3" s="2"/>
      <c r="AF3" s="2"/>
      <c r="AG3" s="2"/>
    </row>
    <row r="4" spans="1:33" ht="29.25" customHeight="1">
      <c r="A4" s="7" t="s">
        <v>6</v>
      </c>
      <c r="B4" s="8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"/>
      <c r="AE4" s="2"/>
      <c r="AF4" s="2"/>
      <c r="AG4" s="2"/>
    </row>
    <row r="5" spans="1:33" ht="52.8">
      <c r="A5" s="9"/>
      <c r="B5" s="10"/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8</v>
      </c>
      <c r="J5" s="11" t="s">
        <v>9</v>
      </c>
      <c r="K5" s="11" t="s">
        <v>10</v>
      </c>
      <c r="L5" s="11" t="s">
        <v>11</v>
      </c>
      <c r="M5" s="11" t="s">
        <v>12</v>
      </c>
      <c r="N5" s="11" t="s">
        <v>13</v>
      </c>
      <c r="O5" s="11" t="s">
        <v>9</v>
      </c>
      <c r="P5" s="11" t="s">
        <v>10</v>
      </c>
      <c r="Q5" s="11" t="s">
        <v>11</v>
      </c>
      <c r="R5" s="11" t="s">
        <v>8</v>
      </c>
      <c r="S5" s="11" t="s">
        <v>9</v>
      </c>
      <c r="T5" s="11" t="s">
        <v>10</v>
      </c>
      <c r="U5" s="11" t="s">
        <v>11</v>
      </c>
      <c r="V5" s="11" t="s">
        <v>12</v>
      </c>
      <c r="W5" s="11" t="s">
        <v>13</v>
      </c>
      <c r="X5" s="11" t="s">
        <v>8</v>
      </c>
      <c r="Y5" s="11" t="s">
        <v>9</v>
      </c>
      <c r="Z5" s="11" t="s">
        <v>10</v>
      </c>
      <c r="AA5" s="11" t="s">
        <v>11</v>
      </c>
      <c r="AB5" s="11" t="s">
        <v>12</v>
      </c>
      <c r="AC5" s="11" t="s">
        <v>13</v>
      </c>
      <c r="AD5" s="2"/>
      <c r="AE5" s="2"/>
      <c r="AF5" s="2"/>
      <c r="AG5" s="2"/>
    </row>
    <row r="6" spans="1:33">
      <c r="A6" s="12">
        <v>1</v>
      </c>
      <c r="B6" s="13">
        <v>46204</v>
      </c>
      <c r="C6" s="14">
        <v>22</v>
      </c>
      <c r="D6" s="14">
        <v>5322</v>
      </c>
      <c r="E6" s="14">
        <v>17</v>
      </c>
      <c r="F6" s="14">
        <v>19974</v>
      </c>
      <c r="G6" s="14">
        <v>8</v>
      </c>
      <c r="H6" s="14">
        <v>0</v>
      </c>
      <c r="I6" s="15">
        <v>150</v>
      </c>
      <c r="J6" s="16"/>
      <c r="K6" s="16"/>
      <c r="L6" s="16"/>
      <c r="M6" s="16"/>
      <c r="N6" s="16"/>
      <c r="O6" s="16">
        <v>125</v>
      </c>
      <c r="P6" s="16">
        <v>0</v>
      </c>
      <c r="Q6" s="16">
        <v>510</v>
      </c>
      <c r="R6" s="16">
        <v>6</v>
      </c>
      <c r="S6" s="16"/>
      <c r="T6" s="16"/>
      <c r="U6" s="16"/>
      <c r="V6" s="16">
        <v>0</v>
      </c>
      <c r="W6" s="16"/>
      <c r="X6" s="16">
        <f t="shared" ref="X6:X25" si="0">C6+I6-R6</f>
        <v>166</v>
      </c>
      <c r="Y6" s="14">
        <f t="shared" ref="Y6:Y25" si="1">D6+J6-O6-S6</f>
        <v>5197</v>
      </c>
      <c r="Z6" s="14">
        <f t="shared" ref="Z6:Z25" si="2">E6+K6-P6-T6</f>
        <v>17</v>
      </c>
      <c r="AA6" s="14">
        <f t="shared" ref="AA6:AA25" si="3">F6+L6-Q6-U6</f>
        <v>19464</v>
      </c>
      <c r="AB6" s="14">
        <f t="shared" ref="AB6:AB25" si="4">G6+M6-V6</f>
        <v>8</v>
      </c>
      <c r="AC6" s="14">
        <f t="shared" ref="AC6:AC25" si="5">H6+N6-W6</f>
        <v>0</v>
      </c>
      <c r="AD6" s="2"/>
      <c r="AE6" s="2"/>
      <c r="AF6" s="2"/>
      <c r="AG6" s="2"/>
    </row>
    <row r="7" spans="1:33">
      <c r="A7" s="12">
        <v>2</v>
      </c>
      <c r="B7" s="13">
        <v>46205</v>
      </c>
      <c r="C7" s="16">
        <f t="shared" ref="C7:C25" si="6">X6</f>
        <v>166</v>
      </c>
      <c r="D7" s="16">
        <f t="shared" ref="D7:D25" si="7">Y6</f>
        <v>5197</v>
      </c>
      <c r="E7" s="16">
        <f t="shared" ref="E7:E25" si="8">Z6</f>
        <v>17</v>
      </c>
      <c r="F7" s="16">
        <f t="shared" ref="F7:F25" si="9">AA6</f>
        <v>19464</v>
      </c>
      <c r="G7" s="16">
        <f t="shared" ref="G7:G25" si="10">AB6</f>
        <v>8</v>
      </c>
      <c r="H7" s="16">
        <f t="shared" ref="H7:H25" si="11">AC6</f>
        <v>0</v>
      </c>
      <c r="I7" s="15"/>
      <c r="J7" s="16"/>
      <c r="K7" s="16"/>
      <c r="L7" s="16"/>
      <c r="M7" s="16"/>
      <c r="N7" s="16"/>
      <c r="O7" s="16">
        <v>105</v>
      </c>
      <c r="P7" s="16">
        <v>0</v>
      </c>
      <c r="Q7" s="16">
        <v>480</v>
      </c>
      <c r="R7" s="16">
        <v>5</v>
      </c>
      <c r="S7" s="16"/>
      <c r="T7" s="16"/>
      <c r="U7" s="16"/>
      <c r="V7" s="16">
        <v>0</v>
      </c>
      <c r="W7" s="16"/>
      <c r="X7" s="16">
        <f t="shared" si="0"/>
        <v>161</v>
      </c>
      <c r="Y7" s="14">
        <f t="shared" si="1"/>
        <v>5092</v>
      </c>
      <c r="Z7" s="14">
        <f t="shared" si="2"/>
        <v>17</v>
      </c>
      <c r="AA7" s="14">
        <f t="shared" si="3"/>
        <v>18984</v>
      </c>
      <c r="AB7" s="14">
        <f t="shared" si="4"/>
        <v>8</v>
      </c>
      <c r="AC7" s="14">
        <f t="shared" si="5"/>
        <v>0</v>
      </c>
      <c r="AD7" s="2"/>
      <c r="AE7" s="2"/>
      <c r="AF7" s="2"/>
      <c r="AG7" s="2"/>
    </row>
    <row r="8" spans="1:33">
      <c r="A8" s="12">
        <v>3</v>
      </c>
      <c r="B8" s="13">
        <v>46208</v>
      </c>
      <c r="C8" s="16">
        <f t="shared" si="6"/>
        <v>161</v>
      </c>
      <c r="D8" s="16">
        <f t="shared" si="7"/>
        <v>5092</v>
      </c>
      <c r="E8" s="16">
        <f t="shared" si="8"/>
        <v>17</v>
      </c>
      <c r="F8" s="16">
        <f t="shared" si="9"/>
        <v>18984</v>
      </c>
      <c r="G8" s="16">
        <f t="shared" si="10"/>
        <v>8</v>
      </c>
      <c r="H8" s="16">
        <f t="shared" si="11"/>
        <v>0</v>
      </c>
      <c r="I8" s="16"/>
      <c r="J8" s="16"/>
      <c r="K8" s="16"/>
      <c r="L8" s="15"/>
      <c r="M8" s="15"/>
      <c r="N8" s="15"/>
      <c r="O8" s="16">
        <v>0</v>
      </c>
      <c r="P8" s="16">
        <v>0</v>
      </c>
      <c r="Q8" s="16">
        <v>120</v>
      </c>
      <c r="R8" s="16">
        <v>1</v>
      </c>
      <c r="S8" s="16"/>
      <c r="T8" s="16"/>
      <c r="U8" s="16"/>
      <c r="V8" s="16">
        <v>0</v>
      </c>
      <c r="W8" s="16"/>
      <c r="X8" s="16">
        <f t="shared" si="0"/>
        <v>160</v>
      </c>
      <c r="Y8" s="14">
        <f t="shared" si="1"/>
        <v>5092</v>
      </c>
      <c r="Z8" s="14">
        <f t="shared" si="2"/>
        <v>17</v>
      </c>
      <c r="AA8" s="14">
        <f t="shared" si="3"/>
        <v>18864</v>
      </c>
      <c r="AB8" s="14">
        <f t="shared" si="4"/>
        <v>8</v>
      </c>
      <c r="AC8" s="14">
        <f t="shared" si="5"/>
        <v>0</v>
      </c>
      <c r="AD8" s="2"/>
      <c r="AE8" s="2"/>
      <c r="AF8" s="2"/>
      <c r="AG8" s="2"/>
    </row>
    <row r="9" spans="1:33">
      <c r="A9" s="12">
        <v>4</v>
      </c>
      <c r="B9" s="13">
        <v>46209</v>
      </c>
      <c r="C9" s="16">
        <f t="shared" si="6"/>
        <v>160</v>
      </c>
      <c r="D9" s="16">
        <f t="shared" si="7"/>
        <v>5092</v>
      </c>
      <c r="E9" s="16">
        <f t="shared" si="8"/>
        <v>17</v>
      </c>
      <c r="F9" s="16">
        <f t="shared" si="9"/>
        <v>18864</v>
      </c>
      <c r="G9" s="16">
        <f t="shared" si="10"/>
        <v>8</v>
      </c>
      <c r="H9" s="16">
        <f t="shared" si="11"/>
        <v>0</v>
      </c>
      <c r="I9" s="16"/>
      <c r="J9" s="16"/>
      <c r="K9" s="16"/>
      <c r="L9" s="16"/>
      <c r="M9" s="16"/>
      <c r="N9" s="16"/>
      <c r="O9" s="16">
        <v>285</v>
      </c>
      <c r="P9" s="16">
        <v>0</v>
      </c>
      <c r="Q9" s="16">
        <v>1040</v>
      </c>
      <c r="R9" s="16">
        <v>10</v>
      </c>
      <c r="S9" s="16"/>
      <c r="T9" s="16"/>
      <c r="U9" s="16"/>
      <c r="V9" s="16">
        <v>0</v>
      </c>
      <c r="W9" s="16"/>
      <c r="X9" s="16">
        <f t="shared" si="0"/>
        <v>150</v>
      </c>
      <c r="Y9" s="14">
        <f t="shared" si="1"/>
        <v>4807</v>
      </c>
      <c r="Z9" s="14">
        <f t="shared" si="2"/>
        <v>17</v>
      </c>
      <c r="AA9" s="14">
        <f t="shared" si="3"/>
        <v>17824</v>
      </c>
      <c r="AB9" s="14">
        <f t="shared" si="4"/>
        <v>8</v>
      </c>
      <c r="AC9" s="14">
        <f t="shared" si="5"/>
        <v>0</v>
      </c>
      <c r="AD9" s="2"/>
      <c r="AE9" s="2"/>
      <c r="AF9" s="2"/>
      <c r="AG9" s="2"/>
    </row>
    <row r="10" spans="1:33">
      <c r="A10" s="12">
        <v>5</v>
      </c>
      <c r="B10" s="13">
        <v>46210</v>
      </c>
      <c r="C10" s="16">
        <f t="shared" si="6"/>
        <v>150</v>
      </c>
      <c r="D10" s="16">
        <f t="shared" si="7"/>
        <v>4807</v>
      </c>
      <c r="E10" s="16">
        <f t="shared" si="8"/>
        <v>17</v>
      </c>
      <c r="F10" s="16">
        <f t="shared" si="9"/>
        <v>17824</v>
      </c>
      <c r="G10" s="16">
        <f t="shared" si="10"/>
        <v>8</v>
      </c>
      <c r="H10" s="16">
        <f t="shared" si="11"/>
        <v>0</v>
      </c>
      <c r="I10" s="16"/>
      <c r="J10" s="16"/>
      <c r="K10" s="16"/>
      <c r="L10" s="16"/>
      <c r="M10" s="16"/>
      <c r="N10" s="16"/>
      <c r="O10" s="16">
        <v>180</v>
      </c>
      <c r="P10" s="16">
        <v>0</v>
      </c>
      <c r="Q10" s="16">
        <v>760</v>
      </c>
      <c r="R10" s="16">
        <v>8</v>
      </c>
      <c r="S10" s="16"/>
      <c r="T10" s="16"/>
      <c r="U10" s="16"/>
      <c r="V10" s="16">
        <v>1</v>
      </c>
      <c r="W10" s="16"/>
      <c r="X10" s="16">
        <f t="shared" si="0"/>
        <v>142</v>
      </c>
      <c r="Y10" s="14">
        <f t="shared" si="1"/>
        <v>4627</v>
      </c>
      <c r="Z10" s="14">
        <f t="shared" si="2"/>
        <v>17</v>
      </c>
      <c r="AA10" s="14">
        <f t="shared" si="3"/>
        <v>17064</v>
      </c>
      <c r="AB10" s="14">
        <f t="shared" si="4"/>
        <v>7</v>
      </c>
      <c r="AC10" s="14">
        <f t="shared" si="5"/>
        <v>0</v>
      </c>
      <c r="AD10" s="2"/>
      <c r="AE10" s="2"/>
      <c r="AF10" s="2"/>
      <c r="AG10" s="2"/>
    </row>
    <row r="11" spans="1:33">
      <c r="A11" s="12">
        <v>6</v>
      </c>
      <c r="B11" s="13">
        <v>46211</v>
      </c>
      <c r="C11" s="16">
        <f t="shared" si="6"/>
        <v>142</v>
      </c>
      <c r="D11" s="16">
        <f t="shared" si="7"/>
        <v>4627</v>
      </c>
      <c r="E11" s="16">
        <f t="shared" si="8"/>
        <v>17</v>
      </c>
      <c r="F11" s="16">
        <f t="shared" si="9"/>
        <v>17064</v>
      </c>
      <c r="G11" s="16">
        <f t="shared" si="10"/>
        <v>7</v>
      </c>
      <c r="H11" s="16">
        <f t="shared" si="11"/>
        <v>0</v>
      </c>
      <c r="I11" s="16"/>
      <c r="J11" s="16"/>
      <c r="K11" s="16"/>
      <c r="L11" s="16"/>
      <c r="M11" s="16"/>
      <c r="N11" s="16"/>
      <c r="O11" s="16">
        <v>130</v>
      </c>
      <c r="P11" s="16">
        <v>0</v>
      </c>
      <c r="Q11" s="16">
        <v>710</v>
      </c>
      <c r="R11" s="16">
        <v>8</v>
      </c>
      <c r="S11" s="16"/>
      <c r="T11" s="16"/>
      <c r="U11" s="16"/>
      <c r="V11" s="16">
        <v>0</v>
      </c>
      <c r="W11" s="16"/>
      <c r="X11" s="16">
        <f t="shared" si="0"/>
        <v>134</v>
      </c>
      <c r="Y11" s="14">
        <f t="shared" si="1"/>
        <v>4497</v>
      </c>
      <c r="Z11" s="14">
        <f t="shared" si="2"/>
        <v>17</v>
      </c>
      <c r="AA11" s="14">
        <f t="shared" si="3"/>
        <v>16354</v>
      </c>
      <c r="AB11" s="14">
        <f t="shared" si="4"/>
        <v>7</v>
      </c>
      <c r="AC11" s="14">
        <f t="shared" si="5"/>
        <v>0</v>
      </c>
      <c r="AD11" s="2"/>
      <c r="AE11" s="2"/>
      <c r="AF11" s="2"/>
      <c r="AG11" s="2"/>
    </row>
    <row r="12" spans="1:33">
      <c r="A12" s="12">
        <v>7</v>
      </c>
      <c r="B12" s="13">
        <v>46212</v>
      </c>
      <c r="C12" s="16">
        <f t="shared" si="6"/>
        <v>134</v>
      </c>
      <c r="D12" s="16">
        <f t="shared" si="7"/>
        <v>4497</v>
      </c>
      <c r="E12" s="16">
        <f t="shared" si="8"/>
        <v>17</v>
      </c>
      <c r="F12" s="16">
        <f t="shared" si="9"/>
        <v>16354</v>
      </c>
      <c r="G12" s="16">
        <f t="shared" si="10"/>
        <v>7</v>
      </c>
      <c r="H12" s="16">
        <f t="shared" si="11"/>
        <v>0</v>
      </c>
      <c r="I12" s="16"/>
      <c r="J12" s="16"/>
      <c r="K12" s="16"/>
      <c r="L12" s="16"/>
      <c r="M12" s="16"/>
      <c r="N12" s="16"/>
      <c r="O12" s="16">
        <v>85</v>
      </c>
      <c r="P12" s="16">
        <v>0</v>
      </c>
      <c r="Q12" s="16">
        <v>630</v>
      </c>
      <c r="R12" s="16">
        <v>7</v>
      </c>
      <c r="S12" s="16"/>
      <c r="T12" s="16"/>
      <c r="U12" s="16"/>
      <c r="V12" s="16">
        <v>0</v>
      </c>
      <c r="W12" s="16"/>
      <c r="X12" s="16">
        <f t="shared" si="0"/>
        <v>127</v>
      </c>
      <c r="Y12" s="14">
        <f t="shared" si="1"/>
        <v>4412</v>
      </c>
      <c r="Z12" s="14">
        <f t="shared" si="2"/>
        <v>17</v>
      </c>
      <c r="AA12" s="14">
        <f t="shared" si="3"/>
        <v>15724</v>
      </c>
      <c r="AB12" s="14">
        <f t="shared" si="4"/>
        <v>7</v>
      </c>
      <c r="AC12" s="14">
        <f t="shared" si="5"/>
        <v>0</v>
      </c>
      <c r="AD12" s="2"/>
      <c r="AE12" s="2"/>
      <c r="AF12" s="2"/>
      <c r="AG12" s="2"/>
    </row>
    <row r="13" spans="1:33">
      <c r="A13" s="12">
        <v>8</v>
      </c>
      <c r="B13" s="13">
        <v>46215</v>
      </c>
      <c r="C13" s="16">
        <f t="shared" si="6"/>
        <v>127</v>
      </c>
      <c r="D13" s="16">
        <f t="shared" si="7"/>
        <v>4412</v>
      </c>
      <c r="E13" s="16">
        <f t="shared" si="8"/>
        <v>17</v>
      </c>
      <c r="F13" s="16">
        <f t="shared" si="9"/>
        <v>15724</v>
      </c>
      <c r="G13" s="16">
        <f t="shared" si="10"/>
        <v>7</v>
      </c>
      <c r="H13" s="16">
        <f t="shared" si="11"/>
        <v>0</v>
      </c>
      <c r="I13" s="16"/>
      <c r="J13" s="16"/>
      <c r="K13" s="16"/>
      <c r="L13" s="16"/>
      <c r="M13" s="16"/>
      <c r="N13" s="16"/>
      <c r="O13" s="16">
        <v>70</v>
      </c>
      <c r="P13" s="16">
        <v>0</v>
      </c>
      <c r="Q13" s="16">
        <v>240</v>
      </c>
      <c r="R13" s="16">
        <v>4</v>
      </c>
      <c r="S13" s="16"/>
      <c r="T13" s="16"/>
      <c r="U13" s="16"/>
      <c r="V13" s="16">
        <v>1</v>
      </c>
      <c r="W13" s="16"/>
      <c r="X13" s="16">
        <f t="shared" si="0"/>
        <v>123</v>
      </c>
      <c r="Y13" s="14">
        <f t="shared" si="1"/>
        <v>4342</v>
      </c>
      <c r="Z13" s="14">
        <f t="shared" si="2"/>
        <v>17</v>
      </c>
      <c r="AA13" s="14">
        <f t="shared" si="3"/>
        <v>15484</v>
      </c>
      <c r="AB13" s="14">
        <f t="shared" si="4"/>
        <v>6</v>
      </c>
      <c r="AC13" s="14">
        <f t="shared" si="5"/>
        <v>0</v>
      </c>
      <c r="AD13" s="2"/>
      <c r="AE13" s="2"/>
      <c r="AF13" s="2"/>
      <c r="AG13" s="2"/>
    </row>
    <row r="14" spans="1:33">
      <c r="A14" s="12">
        <v>9</v>
      </c>
      <c r="B14" s="13">
        <v>46216</v>
      </c>
      <c r="C14" s="16">
        <f t="shared" si="6"/>
        <v>123</v>
      </c>
      <c r="D14" s="16">
        <f t="shared" si="7"/>
        <v>4342</v>
      </c>
      <c r="E14" s="16">
        <f t="shared" si="8"/>
        <v>17</v>
      </c>
      <c r="F14" s="16">
        <f t="shared" si="9"/>
        <v>15484</v>
      </c>
      <c r="G14" s="16">
        <f t="shared" si="10"/>
        <v>6</v>
      </c>
      <c r="H14" s="16">
        <f t="shared" si="11"/>
        <v>0</v>
      </c>
      <c r="I14" s="16"/>
      <c r="J14" s="16"/>
      <c r="K14" s="16"/>
      <c r="L14" s="16"/>
      <c r="M14" s="16"/>
      <c r="N14" s="16"/>
      <c r="O14" s="16">
        <v>145</v>
      </c>
      <c r="P14" s="16">
        <v>0</v>
      </c>
      <c r="Q14" s="16">
        <v>470</v>
      </c>
      <c r="R14" s="16">
        <v>6</v>
      </c>
      <c r="S14" s="16"/>
      <c r="T14" s="16"/>
      <c r="U14" s="16"/>
      <c r="V14" s="16">
        <v>0</v>
      </c>
      <c r="W14" s="16"/>
      <c r="X14" s="16">
        <f t="shared" si="0"/>
        <v>117</v>
      </c>
      <c r="Y14" s="14">
        <f t="shared" si="1"/>
        <v>4197</v>
      </c>
      <c r="Z14" s="14">
        <f t="shared" si="2"/>
        <v>17</v>
      </c>
      <c r="AA14" s="14">
        <f t="shared" si="3"/>
        <v>15014</v>
      </c>
      <c r="AB14" s="14">
        <f t="shared" si="4"/>
        <v>6</v>
      </c>
      <c r="AC14" s="14">
        <f t="shared" si="5"/>
        <v>0</v>
      </c>
      <c r="AD14" s="2"/>
      <c r="AE14" s="2"/>
      <c r="AF14" s="2"/>
      <c r="AG14" s="2"/>
    </row>
    <row r="15" spans="1:33">
      <c r="A15" s="12">
        <v>10</v>
      </c>
      <c r="B15" s="13">
        <v>46217</v>
      </c>
      <c r="C15" s="16">
        <f t="shared" si="6"/>
        <v>117</v>
      </c>
      <c r="D15" s="16">
        <f t="shared" si="7"/>
        <v>4197</v>
      </c>
      <c r="E15" s="16">
        <f t="shared" si="8"/>
        <v>17</v>
      </c>
      <c r="F15" s="16">
        <f t="shared" si="9"/>
        <v>15014</v>
      </c>
      <c r="G15" s="16">
        <f t="shared" si="10"/>
        <v>6</v>
      </c>
      <c r="H15" s="16">
        <f t="shared" si="11"/>
        <v>0</v>
      </c>
      <c r="I15" s="16"/>
      <c r="J15" s="16"/>
      <c r="K15" s="16"/>
      <c r="L15" s="16"/>
      <c r="M15" s="16"/>
      <c r="N15" s="16"/>
      <c r="O15" s="16">
        <v>120</v>
      </c>
      <c r="P15" s="16">
        <v>0</v>
      </c>
      <c r="Q15" s="16">
        <v>400</v>
      </c>
      <c r="R15" s="16">
        <v>4</v>
      </c>
      <c r="S15" s="16"/>
      <c r="T15" s="16"/>
      <c r="U15" s="16"/>
      <c r="V15" s="16">
        <v>0</v>
      </c>
      <c r="W15" s="16"/>
      <c r="X15" s="16">
        <f t="shared" si="0"/>
        <v>113</v>
      </c>
      <c r="Y15" s="14">
        <f t="shared" si="1"/>
        <v>4077</v>
      </c>
      <c r="Z15" s="14">
        <f t="shared" si="2"/>
        <v>17</v>
      </c>
      <c r="AA15" s="14">
        <f t="shared" si="3"/>
        <v>14614</v>
      </c>
      <c r="AB15" s="14">
        <f t="shared" si="4"/>
        <v>6</v>
      </c>
      <c r="AC15" s="14">
        <f t="shared" si="5"/>
        <v>0</v>
      </c>
      <c r="AD15" s="2"/>
      <c r="AE15" s="2"/>
      <c r="AF15" s="2"/>
      <c r="AG15" s="2"/>
    </row>
    <row r="16" spans="1:33">
      <c r="A16" s="12">
        <v>11</v>
      </c>
      <c r="B16" s="13">
        <v>46218</v>
      </c>
      <c r="C16" s="16">
        <f t="shared" si="6"/>
        <v>113</v>
      </c>
      <c r="D16" s="16">
        <f t="shared" si="7"/>
        <v>4077</v>
      </c>
      <c r="E16" s="16">
        <f t="shared" si="8"/>
        <v>17</v>
      </c>
      <c r="F16" s="16">
        <f t="shared" si="9"/>
        <v>14614</v>
      </c>
      <c r="G16" s="16">
        <f t="shared" si="10"/>
        <v>6</v>
      </c>
      <c r="H16" s="16">
        <f t="shared" si="11"/>
        <v>0</v>
      </c>
      <c r="I16" s="16"/>
      <c r="J16" s="16"/>
      <c r="K16" s="16"/>
      <c r="L16" s="16"/>
      <c r="M16" s="16"/>
      <c r="N16" s="16"/>
      <c r="O16" s="16">
        <v>60</v>
      </c>
      <c r="P16" s="16">
        <v>0</v>
      </c>
      <c r="Q16" s="16">
        <v>110</v>
      </c>
      <c r="R16" s="16">
        <v>3</v>
      </c>
      <c r="S16" s="16"/>
      <c r="T16" s="16"/>
      <c r="U16" s="16"/>
      <c r="V16" s="16">
        <v>0</v>
      </c>
      <c r="W16" s="16"/>
      <c r="X16" s="16">
        <f t="shared" si="0"/>
        <v>110</v>
      </c>
      <c r="Y16" s="14">
        <f t="shared" si="1"/>
        <v>4017</v>
      </c>
      <c r="Z16" s="14">
        <f t="shared" si="2"/>
        <v>17</v>
      </c>
      <c r="AA16" s="14">
        <f t="shared" si="3"/>
        <v>14504</v>
      </c>
      <c r="AB16" s="14">
        <f t="shared" si="4"/>
        <v>6</v>
      </c>
      <c r="AC16" s="14">
        <f t="shared" si="5"/>
        <v>0</v>
      </c>
      <c r="AD16" s="2"/>
      <c r="AE16" s="2"/>
      <c r="AF16" s="2"/>
      <c r="AG16" s="2"/>
    </row>
    <row r="17" spans="1:33">
      <c r="A17" s="12">
        <v>12</v>
      </c>
      <c r="B17" s="13">
        <v>46219</v>
      </c>
      <c r="C17" s="16">
        <f t="shared" si="6"/>
        <v>110</v>
      </c>
      <c r="D17" s="16">
        <f t="shared" si="7"/>
        <v>4017</v>
      </c>
      <c r="E17" s="16">
        <f t="shared" si="8"/>
        <v>17</v>
      </c>
      <c r="F17" s="16">
        <f t="shared" si="9"/>
        <v>14504</v>
      </c>
      <c r="G17" s="16">
        <f t="shared" si="10"/>
        <v>6</v>
      </c>
      <c r="H17" s="16">
        <f t="shared" si="11"/>
        <v>0</v>
      </c>
      <c r="I17" s="16"/>
      <c r="J17" s="16"/>
      <c r="K17" s="16"/>
      <c r="L17" s="16"/>
      <c r="M17" s="16"/>
      <c r="N17" s="16"/>
      <c r="O17" s="16">
        <v>215</v>
      </c>
      <c r="P17" s="16">
        <v>0</v>
      </c>
      <c r="Q17" s="16">
        <v>1060</v>
      </c>
      <c r="R17" s="16">
        <v>11</v>
      </c>
      <c r="S17" s="16"/>
      <c r="T17" s="16"/>
      <c r="U17" s="16"/>
      <c r="V17" s="16">
        <v>1</v>
      </c>
      <c r="W17" s="16"/>
      <c r="X17" s="16">
        <f t="shared" si="0"/>
        <v>99</v>
      </c>
      <c r="Y17" s="14">
        <f t="shared" si="1"/>
        <v>3802</v>
      </c>
      <c r="Z17" s="14">
        <f t="shared" si="2"/>
        <v>17</v>
      </c>
      <c r="AA17" s="14">
        <f t="shared" si="3"/>
        <v>13444</v>
      </c>
      <c r="AB17" s="14">
        <f t="shared" si="4"/>
        <v>5</v>
      </c>
      <c r="AC17" s="14">
        <f t="shared" si="5"/>
        <v>0</v>
      </c>
      <c r="AD17" s="2"/>
      <c r="AE17" s="2"/>
      <c r="AF17" s="2"/>
      <c r="AG17" s="2"/>
    </row>
    <row r="18" spans="1:33">
      <c r="A18" s="12">
        <v>13</v>
      </c>
      <c r="B18" s="13">
        <v>46222</v>
      </c>
      <c r="C18" s="16">
        <f t="shared" si="6"/>
        <v>99</v>
      </c>
      <c r="D18" s="16">
        <f t="shared" si="7"/>
        <v>3802</v>
      </c>
      <c r="E18" s="16">
        <f t="shared" si="8"/>
        <v>17</v>
      </c>
      <c r="F18" s="16">
        <f t="shared" si="9"/>
        <v>13444</v>
      </c>
      <c r="G18" s="16">
        <f t="shared" si="10"/>
        <v>5</v>
      </c>
      <c r="H18" s="16">
        <f t="shared" si="11"/>
        <v>0</v>
      </c>
      <c r="I18" s="16"/>
      <c r="J18" s="16"/>
      <c r="K18" s="16"/>
      <c r="L18" s="16"/>
      <c r="M18" s="16"/>
      <c r="N18" s="16"/>
      <c r="O18" s="16">
        <v>220</v>
      </c>
      <c r="P18" s="16">
        <v>0</v>
      </c>
      <c r="Q18" s="16">
        <v>1060</v>
      </c>
      <c r="R18" s="16">
        <v>12</v>
      </c>
      <c r="S18" s="16"/>
      <c r="T18" s="16"/>
      <c r="U18" s="16"/>
      <c r="V18" s="16">
        <v>1</v>
      </c>
      <c r="W18" s="16"/>
      <c r="X18" s="16">
        <f t="shared" si="0"/>
        <v>87</v>
      </c>
      <c r="Y18" s="14">
        <f t="shared" si="1"/>
        <v>3582</v>
      </c>
      <c r="Z18" s="14">
        <f t="shared" si="2"/>
        <v>17</v>
      </c>
      <c r="AA18" s="14">
        <f t="shared" si="3"/>
        <v>12384</v>
      </c>
      <c r="AB18" s="14">
        <f t="shared" si="4"/>
        <v>4</v>
      </c>
      <c r="AC18" s="14">
        <f t="shared" si="5"/>
        <v>0</v>
      </c>
      <c r="AD18" s="2"/>
      <c r="AE18" s="2"/>
      <c r="AF18" s="2"/>
      <c r="AG18" s="2"/>
    </row>
    <row r="19" spans="1:33">
      <c r="A19" s="12">
        <v>14</v>
      </c>
      <c r="B19" s="13">
        <v>46223</v>
      </c>
      <c r="C19" s="16">
        <f t="shared" si="6"/>
        <v>87</v>
      </c>
      <c r="D19" s="16">
        <f t="shared" si="7"/>
        <v>3582</v>
      </c>
      <c r="E19" s="16">
        <f t="shared" si="8"/>
        <v>17</v>
      </c>
      <c r="F19" s="16">
        <f t="shared" si="9"/>
        <v>12384</v>
      </c>
      <c r="G19" s="16">
        <f t="shared" si="10"/>
        <v>4</v>
      </c>
      <c r="H19" s="16">
        <f t="shared" si="11"/>
        <v>0</v>
      </c>
      <c r="I19" s="16"/>
      <c r="J19" s="16"/>
      <c r="K19" s="16"/>
      <c r="L19" s="16"/>
      <c r="M19" s="16"/>
      <c r="N19" s="16"/>
      <c r="O19" s="16">
        <v>85</v>
      </c>
      <c r="P19" s="16">
        <v>0</v>
      </c>
      <c r="Q19" s="16">
        <v>710</v>
      </c>
      <c r="R19" s="16">
        <v>7</v>
      </c>
      <c r="S19" s="16"/>
      <c r="T19" s="16"/>
      <c r="U19" s="16"/>
      <c r="V19" s="16">
        <v>0</v>
      </c>
      <c r="W19" s="16"/>
      <c r="X19" s="16">
        <f t="shared" si="0"/>
        <v>80</v>
      </c>
      <c r="Y19" s="14">
        <f t="shared" si="1"/>
        <v>3497</v>
      </c>
      <c r="Z19" s="14">
        <f t="shared" si="2"/>
        <v>17</v>
      </c>
      <c r="AA19" s="14">
        <f t="shared" si="3"/>
        <v>11674</v>
      </c>
      <c r="AB19" s="14">
        <f t="shared" si="4"/>
        <v>4</v>
      </c>
      <c r="AC19" s="14">
        <f t="shared" si="5"/>
        <v>0</v>
      </c>
      <c r="AD19" s="2"/>
      <c r="AE19" s="2"/>
      <c r="AF19" s="2"/>
      <c r="AG19" s="2"/>
    </row>
    <row r="20" spans="1:33">
      <c r="A20" s="12">
        <v>15</v>
      </c>
      <c r="B20" s="13">
        <v>46226</v>
      </c>
      <c r="C20" s="16">
        <f t="shared" si="6"/>
        <v>80</v>
      </c>
      <c r="D20" s="16">
        <f t="shared" si="7"/>
        <v>3497</v>
      </c>
      <c r="E20" s="16">
        <f t="shared" si="8"/>
        <v>17</v>
      </c>
      <c r="F20" s="16">
        <f t="shared" si="9"/>
        <v>11674</v>
      </c>
      <c r="G20" s="16">
        <f t="shared" si="10"/>
        <v>4</v>
      </c>
      <c r="H20" s="16">
        <f t="shared" si="11"/>
        <v>0</v>
      </c>
      <c r="I20" s="16"/>
      <c r="J20" s="16"/>
      <c r="K20" s="16"/>
      <c r="L20" s="16"/>
      <c r="M20" s="16"/>
      <c r="N20" s="16"/>
      <c r="O20" s="16">
        <v>130</v>
      </c>
      <c r="P20" s="16">
        <v>0</v>
      </c>
      <c r="Q20" s="16">
        <v>450</v>
      </c>
      <c r="R20" s="16">
        <v>6</v>
      </c>
      <c r="S20" s="16"/>
      <c r="T20" s="16"/>
      <c r="U20" s="16"/>
      <c r="V20" s="16">
        <v>1</v>
      </c>
      <c r="W20" s="16"/>
      <c r="X20" s="16">
        <f t="shared" si="0"/>
        <v>74</v>
      </c>
      <c r="Y20" s="14">
        <f t="shared" si="1"/>
        <v>3367</v>
      </c>
      <c r="Z20" s="14">
        <f t="shared" si="2"/>
        <v>17</v>
      </c>
      <c r="AA20" s="14">
        <f t="shared" si="3"/>
        <v>11224</v>
      </c>
      <c r="AB20" s="14">
        <f t="shared" si="4"/>
        <v>3</v>
      </c>
      <c r="AC20" s="14">
        <f t="shared" si="5"/>
        <v>0</v>
      </c>
      <c r="AD20" s="2"/>
      <c r="AE20" s="2"/>
      <c r="AF20" s="2"/>
      <c r="AG20" s="2"/>
    </row>
    <row r="21" spans="1:33">
      <c r="A21" s="12">
        <v>16</v>
      </c>
      <c r="B21" s="13">
        <v>46229</v>
      </c>
      <c r="C21" s="16">
        <f t="shared" si="6"/>
        <v>74</v>
      </c>
      <c r="D21" s="16">
        <f t="shared" si="7"/>
        <v>3367</v>
      </c>
      <c r="E21" s="16">
        <f t="shared" si="8"/>
        <v>17</v>
      </c>
      <c r="F21" s="16">
        <f t="shared" si="9"/>
        <v>11224</v>
      </c>
      <c r="G21" s="16">
        <f t="shared" si="10"/>
        <v>3</v>
      </c>
      <c r="H21" s="16">
        <f t="shared" si="11"/>
        <v>0</v>
      </c>
      <c r="I21" s="16"/>
      <c r="J21" s="16"/>
      <c r="K21" s="16"/>
      <c r="L21" s="16"/>
      <c r="M21" s="16"/>
      <c r="N21" s="16"/>
      <c r="O21" s="16">
        <v>120</v>
      </c>
      <c r="P21" s="16">
        <v>0</v>
      </c>
      <c r="Q21" s="16">
        <v>580</v>
      </c>
      <c r="R21" s="16">
        <v>6</v>
      </c>
      <c r="S21" s="16"/>
      <c r="T21" s="16"/>
      <c r="U21" s="16"/>
      <c r="V21" s="16">
        <v>0</v>
      </c>
      <c r="W21" s="16"/>
      <c r="X21" s="16">
        <f t="shared" si="0"/>
        <v>68</v>
      </c>
      <c r="Y21" s="14">
        <f t="shared" si="1"/>
        <v>3247</v>
      </c>
      <c r="Z21" s="14">
        <f t="shared" si="2"/>
        <v>17</v>
      </c>
      <c r="AA21" s="14">
        <f t="shared" si="3"/>
        <v>10644</v>
      </c>
      <c r="AB21" s="14">
        <f t="shared" si="4"/>
        <v>3</v>
      </c>
      <c r="AC21" s="14">
        <f t="shared" si="5"/>
        <v>0</v>
      </c>
      <c r="AD21" s="2"/>
      <c r="AE21" s="2"/>
      <c r="AF21" s="2"/>
      <c r="AG21" s="2"/>
    </row>
    <row r="22" spans="1:33">
      <c r="A22" s="12">
        <v>17</v>
      </c>
      <c r="B22" s="13">
        <v>46230</v>
      </c>
      <c r="C22" s="16">
        <f t="shared" si="6"/>
        <v>68</v>
      </c>
      <c r="D22" s="16">
        <f t="shared" si="7"/>
        <v>3247</v>
      </c>
      <c r="E22" s="16">
        <f t="shared" si="8"/>
        <v>17</v>
      </c>
      <c r="F22" s="16">
        <f t="shared" si="9"/>
        <v>10644</v>
      </c>
      <c r="G22" s="16">
        <f t="shared" si="10"/>
        <v>3</v>
      </c>
      <c r="H22" s="16">
        <f t="shared" si="11"/>
        <v>0</v>
      </c>
      <c r="I22" s="16"/>
      <c r="J22" s="16"/>
      <c r="K22" s="16"/>
      <c r="L22" s="16"/>
      <c r="M22" s="16"/>
      <c r="N22" s="16"/>
      <c r="O22" s="16">
        <v>195</v>
      </c>
      <c r="P22" s="16">
        <v>0</v>
      </c>
      <c r="Q22" s="16">
        <v>1070</v>
      </c>
      <c r="R22" s="16">
        <v>12</v>
      </c>
      <c r="S22" s="16"/>
      <c r="T22" s="16"/>
      <c r="U22" s="16"/>
      <c r="V22" s="16">
        <v>0</v>
      </c>
      <c r="W22" s="16"/>
      <c r="X22" s="16">
        <f t="shared" si="0"/>
        <v>56</v>
      </c>
      <c r="Y22" s="14">
        <f t="shared" si="1"/>
        <v>3052</v>
      </c>
      <c r="Z22" s="14">
        <f t="shared" si="2"/>
        <v>17</v>
      </c>
      <c r="AA22" s="14">
        <f t="shared" si="3"/>
        <v>9574</v>
      </c>
      <c r="AB22" s="14">
        <f t="shared" si="4"/>
        <v>3</v>
      </c>
      <c r="AC22" s="14">
        <f t="shared" si="5"/>
        <v>0</v>
      </c>
      <c r="AD22" s="2"/>
      <c r="AE22" s="2"/>
      <c r="AF22" s="2"/>
      <c r="AG22" s="2"/>
    </row>
    <row r="23" spans="1:33">
      <c r="A23" s="12">
        <v>18</v>
      </c>
      <c r="B23" s="13">
        <v>46231</v>
      </c>
      <c r="C23" s="16">
        <f t="shared" si="6"/>
        <v>56</v>
      </c>
      <c r="D23" s="16">
        <f t="shared" si="7"/>
        <v>3052</v>
      </c>
      <c r="E23" s="16">
        <f t="shared" si="8"/>
        <v>17</v>
      </c>
      <c r="F23" s="16">
        <f t="shared" si="9"/>
        <v>9574</v>
      </c>
      <c r="G23" s="16">
        <f t="shared" si="10"/>
        <v>3</v>
      </c>
      <c r="H23" s="16">
        <f t="shared" si="11"/>
        <v>0</v>
      </c>
      <c r="I23" s="16"/>
      <c r="J23" s="16"/>
      <c r="K23" s="16"/>
      <c r="L23" s="16"/>
      <c r="M23" s="16"/>
      <c r="N23" s="16"/>
      <c r="O23" s="16">
        <v>255</v>
      </c>
      <c r="P23" s="16">
        <v>0</v>
      </c>
      <c r="Q23" s="16">
        <v>1280</v>
      </c>
      <c r="R23" s="16">
        <v>14</v>
      </c>
      <c r="S23" s="16"/>
      <c r="T23" s="16"/>
      <c r="U23" s="16"/>
      <c r="V23" s="16">
        <v>0</v>
      </c>
      <c r="W23" s="16"/>
      <c r="X23" s="16">
        <f t="shared" si="0"/>
        <v>42</v>
      </c>
      <c r="Y23" s="14">
        <f t="shared" si="1"/>
        <v>2797</v>
      </c>
      <c r="Z23" s="14">
        <f t="shared" si="2"/>
        <v>17</v>
      </c>
      <c r="AA23" s="14">
        <f t="shared" si="3"/>
        <v>8294</v>
      </c>
      <c r="AB23" s="14">
        <f t="shared" si="4"/>
        <v>3</v>
      </c>
      <c r="AC23" s="14">
        <f t="shared" si="5"/>
        <v>0</v>
      </c>
      <c r="AD23" s="2"/>
      <c r="AE23" s="2"/>
      <c r="AF23" s="2"/>
      <c r="AG23" s="2"/>
    </row>
    <row r="24" spans="1:33">
      <c r="A24" s="12">
        <v>19</v>
      </c>
      <c r="B24" s="13">
        <v>46232</v>
      </c>
      <c r="C24" s="16">
        <f t="shared" si="6"/>
        <v>42</v>
      </c>
      <c r="D24" s="16">
        <f t="shared" si="7"/>
        <v>2797</v>
      </c>
      <c r="E24" s="16">
        <f t="shared" si="8"/>
        <v>17</v>
      </c>
      <c r="F24" s="16">
        <f t="shared" si="9"/>
        <v>8294</v>
      </c>
      <c r="G24" s="16">
        <f t="shared" si="10"/>
        <v>3</v>
      </c>
      <c r="H24" s="16">
        <f t="shared" si="11"/>
        <v>0</v>
      </c>
      <c r="I24" s="16"/>
      <c r="J24" s="16"/>
      <c r="K24" s="16"/>
      <c r="L24" s="16"/>
      <c r="M24" s="16"/>
      <c r="N24" s="16"/>
      <c r="O24" s="16">
        <v>120</v>
      </c>
      <c r="P24" s="16">
        <v>0</v>
      </c>
      <c r="Q24" s="16">
        <v>690</v>
      </c>
      <c r="R24" s="16">
        <v>6</v>
      </c>
      <c r="S24" s="16"/>
      <c r="T24" s="16"/>
      <c r="U24" s="16"/>
      <c r="V24" s="16">
        <v>0</v>
      </c>
      <c r="W24" s="16"/>
      <c r="X24" s="16">
        <f t="shared" si="0"/>
        <v>36</v>
      </c>
      <c r="Y24" s="14">
        <f t="shared" si="1"/>
        <v>2677</v>
      </c>
      <c r="Z24" s="14">
        <f t="shared" si="2"/>
        <v>17</v>
      </c>
      <c r="AA24" s="14">
        <f t="shared" si="3"/>
        <v>7604</v>
      </c>
      <c r="AB24" s="14">
        <f t="shared" si="4"/>
        <v>3</v>
      </c>
      <c r="AC24" s="14">
        <f t="shared" si="5"/>
        <v>0</v>
      </c>
      <c r="AD24" s="2"/>
      <c r="AE24" s="2"/>
      <c r="AF24" s="2"/>
      <c r="AG24" s="2"/>
    </row>
    <row r="25" spans="1:33">
      <c r="A25" s="12">
        <v>20</v>
      </c>
      <c r="B25" s="13">
        <v>46233</v>
      </c>
      <c r="C25" s="16">
        <f t="shared" si="6"/>
        <v>36</v>
      </c>
      <c r="D25" s="16">
        <f t="shared" si="7"/>
        <v>2677</v>
      </c>
      <c r="E25" s="16">
        <f t="shared" si="8"/>
        <v>17</v>
      </c>
      <c r="F25" s="16">
        <f t="shared" si="9"/>
        <v>7604</v>
      </c>
      <c r="G25" s="16">
        <f t="shared" si="10"/>
        <v>3</v>
      </c>
      <c r="H25" s="16">
        <f t="shared" si="11"/>
        <v>0</v>
      </c>
      <c r="I25" s="16"/>
      <c r="J25" s="16"/>
      <c r="K25" s="16"/>
      <c r="L25" s="16"/>
      <c r="M25" s="16"/>
      <c r="N25" s="16"/>
      <c r="O25" s="16">
        <v>325</v>
      </c>
      <c r="P25" s="16">
        <v>0</v>
      </c>
      <c r="Q25" s="16">
        <v>1200</v>
      </c>
      <c r="R25" s="16">
        <v>10</v>
      </c>
      <c r="S25" s="16"/>
      <c r="T25" s="16"/>
      <c r="U25" s="16"/>
      <c r="V25" s="16">
        <v>0</v>
      </c>
      <c r="W25" s="16"/>
      <c r="X25" s="16">
        <f t="shared" si="0"/>
        <v>26</v>
      </c>
      <c r="Y25" s="14">
        <f t="shared" si="1"/>
        <v>2352</v>
      </c>
      <c r="Z25" s="14">
        <f t="shared" si="2"/>
        <v>17</v>
      </c>
      <c r="AA25" s="14">
        <f t="shared" si="3"/>
        <v>6404</v>
      </c>
      <c r="AB25" s="14">
        <f t="shared" si="4"/>
        <v>3</v>
      </c>
      <c r="AC25" s="14">
        <f t="shared" si="5"/>
        <v>0</v>
      </c>
      <c r="AD25" s="2"/>
      <c r="AE25" s="2"/>
      <c r="AF25" s="2"/>
      <c r="AG25" s="2"/>
    </row>
    <row r="26" spans="1:33" ht="39" customHeight="1">
      <c r="A26" s="23" t="s">
        <v>14</v>
      </c>
      <c r="B26" s="23"/>
      <c r="C26" s="24"/>
      <c r="D26" s="24"/>
      <c r="E26" s="24"/>
      <c r="F26" s="24"/>
      <c r="G26" s="24"/>
      <c r="H26" s="24"/>
      <c r="I26" s="15">
        <f t="shared" ref="I26:W26" si="12">SUM(I6:I25)</f>
        <v>150</v>
      </c>
      <c r="J26" s="15">
        <f t="shared" si="12"/>
        <v>0</v>
      </c>
      <c r="K26" s="15">
        <f t="shared" si="12"/>
        <v>0</v>
      </c>
      <c r="L26" s="15">
        <f t="shared" si="12"/>
        <v>0</v>
      </c>
      <c r="M26" s="15">
        <f t="shared" si="12"/>
        <v>0</v>
      </c>
      <c r="N26" s="15">
        <f t="shared" si="12"/>
        <v>0</v>
      </c>
      <c r="O26" s="15">
        <f t="shared" si="12"/>
        <v>2970</v>
      </c>
      <c r="P26" s="15">
        <f t="shared" si="12"/>
        <v>0</v>
      </c>
      <c r="Q26" s="15">
        <f t="shared" si="12"/>
        <v>13570</v>
      </c>
      <c r="R26" s="15">
        <f t="shared" si="12"/>
        <v>146</v>
      </c>
      <c r="S26" s="15">
        <f t="shared" si="12"/>
        <v>0</v>
      </c>
      <c r="T26" s="15">
        <f t="shared" si="12"/>
        <v>0</v>
      </c>
      <c r="U26" s="15">
        <f t="shared" si="12"/>
        <v>0</v>
      </c>
      <c r="V26" s="15">
        <f t="shared" si="12"/>
        <v>5</v>
      </c>
      <c r="W26" s="15">
        <f t="shared" si="12"/>
        <v>0</v>
      </c>
      <c r="X26" s="25"/>
      <c r="Y26" s="25"/>
      <c r="Z26" s="25"/>
      <c r="AA26" s="25"/>
      <c r="AB26" s="25"/>
      <c r="AC26" s="25"/>
      <c r="AD26" s="2"/>
      <c r="AE26" s="2"/>
      <c r="AF26" s="2"/>
      <c r="AG26" s="2"/>
    </row>
    <row r="27" spans="1:3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</sheetData>
  <mergeCells count="10">
    <mergeCell ref="A26:B26"/>
    <mergeCell ref="C26:H26"/>
    <mergeCell ref="X26:AC26"/>
    <mergeCell ref="A1:AC1"/>
    <mergeCell ref="C2:H4"/>
    <mergeCell ref="I2:N4"/>
    <mergeCell ref="O2:W2"/>
    <mergeCell ref="X2:AC4"/>
    <mergeCell ref="O3:Q4"/>
    <mergeCell ref="R3:W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2"/>
  <sheetViews>
    <sheetView rightToLeft="1" zoomScaleNormal="100" workbookViewId="0">
      <selection activeCell="D15" sqref="D15"/>
    </sheetView>
  </sheetViews>
  <sheetFormatPr defaultColWidth="14.44140625" defaultRowHeight="14.4"/>
  <cols>
    <col min="1" max="1" width="5.33203125" customWidth="1"/>
    <col min="2" max="2" width="25.109375" customWidth="1"/>
    <col min="3" max="3" width="12.88671875" customWidth="1"/>
    <col min="4" max="4" width="13.44140625" customWidth="1"/>
    <col min="5" max="6" width="16.109375" customWidth="1"/>
    <col min="7" max="7" width="19.44140625" customWidth="1"/>
    <col min="8" max="8" width="17" customWidth="1"/>
    <col min="9" max="9" width="22.44140625" customWidth="1"/>
    <col min="10" max="10" width="21" customWidth="1"/>
    <col min="11" max="11" width="25" customWidth="1"/>
    <col min="12" max="13" width="24.88671875" customWidth="1"/>
  </cols>
  <sheetData>
    <row r="1" spans="1:13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8.5" customHeight="1">
      <c r="A2" s="21" t="s">
        <v>6</v>
      </c>
      <c r="B2" s="21" t="s">
        <v>16</v>
      </c>
      <c r="C2" s="21" t="s">
        <v>17</v>
      </c>
      <c r="D2" s="21"/>
      <c r="E2" s="21"/>
      <c r="F2" s="21"/>
      <c r="G2" s="21"/>
      <c r="H2" s="21"/>
      <c r="I2" s="21"/>
      <c r="J2" s="21"/>
      <c r="K2" s="22" t="s">
        <v>18</v>
      </c>
      <c r="L2" s="22"/>
      <c r="M2" s="22"/>
    </row>
    <row r="3" spans="1:13" ht="83.25" customHeight="1">
      <c r="A3" s="21"/>
      <c r="B3" s="21"/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</row>
    <row r="4" spans="1:13" ht="19.8">
      <c r="A4" s="17">
        <v>1</v>
      </c>
      <c r="B4" s="1" t="s">
        <v>30</v>
      </c>
      <c r="C4" s="15">
        <f>'سجل المخزن'!C6</f>
        <v>22</v>
      </c>
      <c r="D4" s="15">
        <f>'سجل المخزن'!I6</f>
        <v>150</v>
      </c>
      <c r="E4" s="18">
        <f>G4+'سجل المخزن'!R26</f>
        <v>146</v>
      </c>
      <c r="F4" s="18"/>
      <c r="G4" s="18"/>
      <c r="H4" s="15">
        <f>'سجل المخزن'!X25</f>
        <v>26</v>
      </c>
      <c r="I4" s="17"/>
      <c r="J4" s="17">
        <f t="shared" ref="J4:J9" si="0">H4+I4</f>
        <v>26</v>
      </c>
      <c r="K4" s="17">
        <f t="shared" ref="K4:K11" si="1">E4</f>
        <v>146</v>
      </c>
      <c r="L4" s="17">
        <f t="shared" ref="L4:L11" si="2">K4*4</f>
        <v>584</v>
      </c>
      <c r="M4" s="17">
        <f t="shared" ref="M4:M10" si="3">L4-H4</f>
        <v>558</v>
      </c>
    </row>
    <row r="5" spans="1:13" ht="19.8">
      <c r="A5" s="17">
        <v>2</v>
      </c>
      <c r="B5" s="1" t="s">
        <v>31</v>
      </c>
      <c r="C5" s="15">
        <f>'سجل المخزن'!D6</f>
        <v>5322</v>
      </c>
      <c r="D5" s="15">
        <f>'سجل المخزن'!J22</f>
        <v>0</v>
      </c>
      <c r="E5" s="18">
        <f>'سجل المخزن'!O26</f>
        <v>2970</v>
      </c>
      <c r="F5" s="18"/>
      <c r="G5" s="18"/>
      <c r="H5" s="15">
        <f>'سجل المخزن'!Y25</f>
        <v>2352</v>
      </c>
      <c r="I5" s="17"/>
      <c r="J5" s="17">
        <f t="shared" si="0"/>
        <v>2352</v>
      </c>
      <c r="K5" s="17">
        <f t="shared" si="1"/>
        <v>2970</v>
      </c>
      <c r="L5" s="17">
        <f t="shared" si="2"/>
        <v>11880</v>
      </c>
      <c r="M5" s="17">
        <f t="shared" si="3"/>
        <v>9528</v>
      </c>
    </row>
    <row r="6" spans="1:13" ht="19.8">
      <c r="A6" s="17">
        <v>3</v>
      </c>
      <c r="B6" s="1" t="s">
        <v>10</v>
      </c>
      <c r="C6" s="15">
        <f>'سجل المخزن'!E6</f>
        <v>17</v>
      </c>
      <c r="D6" s="15">
        <f>'سجل المخزن'!K22</f>
        <v>0</v>
      </c>
      <c r="E6" s="18">
        <f>'سجل المخزن'!P26</f>
        <v>0</v>
      </c>
      <c r="F6" s="18"/>
      <c r="G6" s="18"/>
      <c r="H6" s="15">
        <f>'سجل المخزن'!Z25</f>
        <v>17</v>
      </c>
      <c r="I6" s="17"/>
      <c r="J6" s="17">
        <f t="shared" si="0"/>
        <v>17</v>
      </c>
      <c r="K6" s="17">
        <f t="shared" si="1"/>
        <v>0</v>
      </c>
      <c r="L6" s="17">
        <f t="shared" si="2"/>
        <v>0</v>
      </c>
      <c r="M6" s="17">
        <f t="shared" si="3"/>
        <v>-17</v>
      </c>
    </row>
    <row r="7" spans="1:13" ht="16.5" customHeight="1">
      <c r="A7" s="17">
        <v>4</v>
      </c>
      <c r="B7" s="1" t="s">
        <v>11</v>
      </c>
      <c r="C7" s="15">
        <f>'سجل المخزن'!F6</f>
        <v>19974</v>
      </c>
      <c r="D7" s="15">
        <f>'سجل المخزن'!L22</f>
        <v>0</v>
      </c>
      <c r="E7" s="18">
        <f>G7+'سجل المخزن'!Q26</f>
        <v>13570</v>
      </c>
      <c r="F7" s="18"/>
      <c r="G7" s="18"/>
      <c r="H7" s="15">
        <f>'سجل المخزن'!AA25</f>
        <v>6404</v>
      </c>
      <c r="I7" s="17"/>
      <c r="J7" s="17">
        <f t="shared" si="0"/>
        <v>6404</v>
      </c>
      <c r="K7" s="17">
        <f t="shared" si="1"/>
        <v>13570</v>
      </c>
      <c r="L7" s="17">
        <f t="shared" si="2"/>
        <v>54280</v>
      </c>
      <c r="M7" s="17">
        <f t="shared" si="3"/>
        <v>47876</v>
      </c>
    </row>
    <row r="8" spans="1:13" ht="16.5" customHeight="1">
      <c r="A8" s="17"/>
      <c r="B8" s="1" t="s">
        <v>12</v>
      </c>
      <c r="C8" s="15">
        <f>'سجل المخزن'!G6</f>
        <v>8</v>
      </c>
      <c r="D8" s="15">
        <f>'سجل المخزن'!M22</f>
        <v>0</v>
      </c>
      <c r="E8" s="18">
        <f>G8+'سجل المخزن'!V26</f>
        <v>5</v>
      </c>
      <c r="F8" s="18"/>
      <c r="G8" s="18"/>
      <c r="H8" s="15">
        <f>C8+D8-E8</f>
        <v>3</v>
      </c>
      <c r="I8" s="17"/>
      <c r="J8" s="17">
        <f t="shared" si="0"/>
        <v>3</v>
      </c>
      <c r="K8" s="17">
        <f t="shared" si="1"/>
        <v>5</v>
      </c>
      <c r="L8" s="17">
        <f t="shared" si="2"/>
        <v>20</v>
      </c>
      <c r="M8" s="17">
        <f t="shared" si="3"/>
        <v>17</v>
      </c>
    </row>
    <row r="9" spans="1:13" ht="16.5" customHeight="1">
      <c r="A9" s="17"/>
      <c r="B9" s="1" t="s">
        <v>13</v>
      </c>
      <c r="C9" s="15">
        <f>'سجل المخزن'!H6</f>
        <v>0</v>
      </c>
      <c r="D9" s="15">
        <f>'سجل المخزن'!N22</f>
        <v>0</v>
      </c>
      <c r="E9" s="18">
        <f>'سجل المخزن'!W26</f>
        <v>0</v>
      </c>
      <c r="F9" s="18"/>
      <c r="G9" s="18"/>
      <c r="H9" s="15">
        <f>C9+D9-E9</f>
        <v>0</v>
      </c>
      <c r="I9" s="17"/>
      <c r="J9" s="17">
        <f t="shared" si="0"/>
        <v>0</v>
      </c>
      <c r="K9" s="17">
        <f t="shared" si="1"/>
        <v>0</v>
      </c>
      <c r="L9" s="17">
        <f t="shared" si="2"/>
        <v>0</v>
      </c>
      <c r="M9" s="17">
        <f t="shared" si="3"/>
        <v>0</v>
      </c>
    </row>
    <row r="10" spans="1:13" ht="19.8">
      <c r="A10" s="17">
        <v>5</v>
      </c>
      <c r="B10" s="1" t="s">
        <v>32</v>
      </c>
      <c r="C10" s="17">
        <v>0</v>
      </c>
      <c r="D10" s="17"/>
      <c r="E10" s="17">
        <v>0</v>
      </c>
      <c r="F10" s="17"/>
      <c r="G10" s="17"/>
      <c r="H10" s="17">
        <f>C10+D10+G10-E10</f>
        <v>0</v>
      </c>
      <c r="I10" s="17"/>
      <c r="J10" s="17"/>
      <c r="K10" s="17">
        <f t="shared" si="1"/>
        <v>0</v>
      </c>
      <c r="L10" s="17">
        <f t="shared" si="2"/>
        <v>0</v>
      </c>
      <c r="M10" s="17">
        <f t="shared" si="3"/>
        <v>0</v>
      </c>
    </row>
    <row r="11" spans="1:13" ht="19.8">
      <c r="A11" s="17">
        <v>6</v>
      </c>
      <c r="B11" s="1" t="s">
        <v>34</v>
      </c>
      <c r="C11" s="17">
        <v>1110</v>
      </c>
      <c r="D11" s="17"/>
      <c r="E11" s="17">
        <v>0</v>
      </c>
      <c r="F11" s="17"/>
      <c r="G11" s="17"/>
      <c r="H11" s="17">
        <f>C11+D11+G11-E11</f>
        <v>1110</v>
      </c>
      <c r="I11" s="17"/>
      <c r="J11" s="17"/>
      <c r="K11" s="17">
        <f t="shared" si="1"/>
        <v>0</v>
      </c>
      <c r="L11" s="17">
        <f t="shared" si="2"/>
        <v>0</v>
      </c>
      <c r="M11" s="17">
        <v>0</v>
      </c>
    </row>
    <row r="14" spans="1:13" ht="15" customHeight="1">
      <c r="J14" s="19" t="s">
        <v>33</v>
      </c>
    </row>
    <row r="15" spans="1:13" ht="15" customHeight="1">
      <c r="J15" s="19"/>
    </row>
    <row r="16" spans="1:13" ht="15" customHeight="1">
      <c r="J16" s="19"/>
    </row>
    <row r="17" spans="10:10" ht="15" customHeight="1">
      <c r="J17" s="19"/>
    </row>
    <row r="18" spans="10:10" ht="15" customHeight="1">
      <c r="J18" s="19"/>
    </row>
    <row r="19" spans="10:10" ht="15" customHeight="1">
      <c r="J19" s="19"/>
    </row>
    <row r="20" spans="10:10" ht="15" customHeight="1">
      <c r="J20" s="19"/>
    </row>
    <row r="21" spans="10:10" ht="15" customHeight="1">
      <c r="J21" s="19"/>
    </row>
    <row r="22" spans="10:10" ht="15" customHeight="1">
      <c r="J22" s="19"/>
    </row>
    <row r="23" spans="10:10" ht="15.75" customHeight="1"/>
    <row r="24" spans="10:10" ht="15.75" customHeight="1"/>
    <row r="25" spans="10:10" ht="15.75" customHeight="1"/>
    <row r="26" spans="10:10" ht="15.75" customHeight="1"/>
    <row r="27" spans="10:10" ht="15.75" customHeight="1"/>
    <row r="28" spans="10:10" ht="15.75" customHeight="1"/>
    <row r="29" spans="10:10" ht="15.75" customHeight="1"/>
    <row r="30" spans="10:10" ht="15.75" customHeight="1"/>
    <row r="31" spans="10:10" ht="15.75" customHeight="1"/>
    <row r="32" spans="10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J14:J22"/>
    <mergeCell ref="A1:M1"/>
    <mergeCell ref="A2:A3"/>
    <mergeCell ref="B2:B3"/>
    <mergeCell ref="C2:J2"/>
    <mergeCell ref="K2:M2"/>
  </mergeCells>
  <conditionalFormatting sqref="J4">
    <cfRule type="cellIs" dxfId="5" priority="2" operator="lessThan">
      <formula>$K$4</formula>
    </cfRule>
  </conditionalFormatting>
  <conditionalFormatting sqref="J5">
    <cfRule type="cellIs" dxfId="4" priority="3" operator="lessThan">
      <formula>$K$5</formula>
    </cfRule>
  </conditionalFormatting>
  <conditionalFormatting sqref="J6">
    <cfRule type="cellIs" dxfId="3" priority="4" operator="lessThan">
      <formula>$K$6</formula>
    </cfRule>
  </conditionalFormatting>
  <conditionalFormatting sqref="J7">
    <cfRule type="cellIs" dxfId="2" priority="5" operator="lessThan">
      <formula>$K$7</formula>
    </cfRule>
  </conditionalFormatting>
  <conditionalFormatting sqref="J8">
    <cfRule type="cellIs" dxfId="1" priority="6" operator="lessThan">
      <formula>$K$8</formula>
    </cfRule>
  </conditionalFormatting>
  <conditionalFormatting sqref="J9">
    <cfRule type="cellIs" dxfId="0" priority="7" operator="lessThan">
      <formula>$K$9</formula>
    </cfRule>
  </conditionalFormatting>
  <pageMargins left="0.7" right="0.7" top="0.75" bottom="0.75" header="0.511811023622047" footer="0.511811023622047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1:A1000"/>
  <sheetViews>
    <sheetView zoomScaleNormal="100" workbookViewId="0"/>
  </sheetViews>
  <sheetFormatPr defaultColWidth="14.44140625" defaultRowHeight="14.4"/>
  <cols>
    <col min="1" max="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zoomScaleNormal="100" workbookViewId="0"/>
  </sheetViews>
  <sheetFormatPr defaultColWidth="14.44140625" defaultRowHeight="14.4"/>
  <cols>
    <col min="1" max="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سجل المخزن</vt:lpstr>
      <vt:lpstr>التقرير الشهري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Thowiba Khougli Elnour</dc:creator>
  <dc:description/>
  <cp:lastModifiedBy>ahmed abd_elghaffar</cp:lastModifiedBy>
  <cp:revision>0</cp:revision>
  <dcterms:created xsi:type="dcterms:W3CDTF">2015-06-05T18:17:20Z</dcterms:created>
  <dcterms:modified xsi:type="dcterms:W3CDTF">2026-08-01T22:13:01Z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0x010100D07B2913FE2CCA46AA5DD5E7D758E8A7</vt:lpwstr>
  </property>
  <property fmtid="{D5CDD505-2E9C-101B-9397-08002B2CF9AE}" pid="3" name="MediaServiceImageTags">
    <vt:lpwstr/>
  </property>
</Properties>
</file>