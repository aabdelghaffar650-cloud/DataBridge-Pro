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frienders\Q2\"/>
    </mc:Choice>
  </mc:AlternateContent>
  <xr:revisionPtr revIDLastSave="0" documentId="13_ncr:1_{B8CA2B8D-16C3-4512-84D8-A2DF975F9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2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25" i="1"/>
  <c r="B24" i="1"/>
  <c r="B23" i="1"/>
  <c r="B22" i="1"/>
  <c r="B21" i="1"/>
  <c r="B20" i="1"/>
  <c r="D19" i="1"/>
  <c r="C19" i="1"/>
  <c r="D18" i="1"/>
  <c r="C18" i="1"/>
  <c r="D17" i="1"/>
  <c r="C17" i="1"/>
  <c r="B17" i="1"/>
  <c r="B13" i="1"/>
  <c r="B12" i="1"/>
  <c r="B11" i="1"/>
  <c r="B10" i="1"/>
  <c r="B9" i="1"/>
  <c r="B8" i="1"/>
  <c r="B7" i="1"/>
  <c r="B6" i="1"/>
  <c r="D5" i="1"/>
  <c r="C5" i="1"/>
  <c r="B5" i="1"/>
  <c r="B19" i="1" l="1"/>
  <c r="B18" i="1"/>
</calcChain>
</file>

<file path=xl/sharedStrings.xml><?xml version="1.0" encoding="utf-8"?>
<sst xmlns="http://schemas.openxmlformats.org/spreadsheetml/2006/main" count="38" uniqueCount="30">
  <si>
    <t>ملخص مؤشرات برنامج Be Frienders</t>
  </si>
  <si>
    <t>أبريل – يونيو 2026</t>
  </si>
  <si>
    <t>البيان</t>
  </si>
  <si>
    <t>الإجمالي</t>
  </si>
  <si>
    <t>رجال</t>
  </si>
  <si>
    <t>سيدات</t>
  </si>
  <si>
    <t>إجمالي الزوار</t>
  </si>
  <si>
    <t>إجمالي الوصول</t>
  </si>
  <si>
    <t>إجمالي التحاليل</t>
  </si>
  <si>
    <t>أعداد إيجابي تحليل سريع</t>
  </si>
  <si>
    <t>أعداد إيجابي تحليل تأكيدي</t>
  </si>
  <si>
    <t>أعداد متابعة</t>
  </si>
  <si>
    <t>أعداد تحليل متابعة</t>
  </si>
  <si>
    <t>أعداد إيجابي متابعة تحليل سريع</t>
  </si>
  <si>
    <t>إجمالي إيجابي متابعة تحليل تأكيدي</t>
  </si>
  <si>
    <t>توزيع أدوات الوقاية</t>
  </si>
  <si>
    <t>إجمالي توزيع سرنجات زوار</t>
  </si>
  <si>
    <t>إجمالي توزيع واقيات زوار</t>
  </si>
  <si>
    <t>إجمالي توزيع مزلقات زوار</t>
  </si>
  <si>
    <t>إجمالي توزيع سرنجات أول مرة</t>
  </si>
  <si>
    <t>إجمالي توزيع واقيات أول مرة</t>
  </si>
  <si>
    <t>إجمالي توزيع مزلقات أول مرة</t>
  </si>
  <si>
    <t>إجمالي توزيع سرنجات متابعة</t>
  </si>
  <si>
    <t>إجمالي توزيع واقيات متابعة</t>
  </si>
  <si>
    <t>إجمالي توزيع مزلقات متابعة</t>
  </si>
  <si>
    <t>الخدمات والإحالات</t>
  </si>
  <si>
    <t>حالات دعم نفسي</t>
  </si>
  <si>
    <t>حالات إحالة طبية</t>
  </si>
  <si>
    <t>حالات إحالة ميثادون</t>
  </si>
  <si>
    <t>ملاحظة: إجمالي الزوار = الوصول + المتابعة، وإجمالي توزيع الزوار = توزيع أول مرة + توزيع المتابعة.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</si>
</sst>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7F6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69206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right" vertical="center" wrapText="1"/>
    </xf>
    <xf numFmtId="3" fontId="5" fillId="8" borderId="1" xfId="0" applyNumberFormat="1" applyFon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right" vertical="center" wrapText="1"/>
    </xf>
    <xf numFmtId="0" fontId="6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692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"/>
  <sheetViews>
    <sheetView showGridLines="0" rightToLeft="1" tabSelected="1" topLeftCell="A13" workbookViewId="0">
      <selection activeCell="B17" sqref="B17:B19"/>
    </sheetView>
  </sheetViews>
  <sheetFormatPr defaultRowHeight="14.4" x14ac:dyDescent="0.3"/>
  <cols>
    <col min="1" max="1" width="38.6640625" customWidth="1"/>
    <col min="2" max="4" width="14.6640625" customWidth="1"/>
  </cols>
  <sheetData>
    <row r="1" spans="1:4" ht="28.05" customHeight="1" x14ac:dyDescent="0.3">
      <c r="A1" s="12" t="s">
        <v>0</v>
      </c>
      <c r="B1" s="12"/>
      <c r="C1" s="12"/>
      <c r="D1" s="12"/>
    </row>
    <row r="2" spans="1:4" ht="22.05" customHeight="1" x14ac:dyDescent="0.3">
      <c r="A2" s="13" t="s">
        <v>1</v>
      </c>
      <c r="B2" s="13"/>
      <c r="C2" s="13"/>
      <c r="D2" s="13"/>
    </row>
    <row r="4" spans="1: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22.05" customHeight="1" x14ac:dyDescent="0.3">
      <c r="A5" s="2" t="s">
        <v>6</v>
      </c>
      <c r="B5" s="3">
        <f t="shared" ref="B5:B13" si="0">SUM(C5:D5)</f>
        <v>521</v>
      </c>
      <c r="C5" s="4">
        <f>C6+C10</f>
        <v>482</v>
      </c>
      <c r="D5" s="4">
        <f>D6+D10</f>
        <v>39</v>
      </c>
    </row>
    <row r="6" spans="1:4" ht="22.05" customHeight="1" x14ac:dyDescent="0.3">
      <c r="A6" s="2" t="s">
        <v>7</v>
      </c>
      <c r="B6" s="3">
        <f t="shared" si="0"/>
        <v>487</v>
      </c>
      <c r="C6" s="4">
        <v>448</v>
      </c>
      <c r="D6" s="4">
        <v>39</v>
      </c>
    </row>
    <row r="7" spans="1:4" ht="22.05" customHeight="1" x14ac:dyDescent="0.3">
      <c r="A7" s="2" t="s">
        <v>8</v>
      </c>
      <c r="B7" s="3">
        <f t="shared" si="0"/>
        <v>433</v>
      </c>
      <c r="C7" s="4">
        <v>394</v>
      </c>
      <c r="D7" s="4">
        <v>39</v>
      </c>
    </row>
    <row r="8" spans="1:4" ht="22.05" customHeight="1" x14ac:dyDescent="0.3">
      <c r="A8" s="2" t="s">
        <v>9</v>
      </c>
      <c r="B8" s="3">
        <f t="shared" si="0"/>
        <v>7</v>
      </c>
      <c r="C8" s="4">
        <v>5</v>
      </c>
      <c r="D8" s="4">
        <v>2</v>
      </c>
    </row>
    <row r="9" spans="1:4" ht="22.05" customHeight="1" x14ac:dyDescent="0.3">
      <c r="A9" s="2" t="s">
        <v>10</v>
      </c>
      <c r="B9" s="3">
        <f t="shared" si="0"/>
        <v>5</v>
      </c>
      <c r="C9" s="4">
        <v>3</v>
      </c>
      <c r="D9" s="4">
        <v>2</v>
      </c>
    </row>
    <row r="10" spans="1:4" ht="22.05" customHeight="1" x14ac:dyDescent="0.3">
      <c r="A10" s="2" t="s">
        <v>11</v>
      </c>
      <c r="B10" s="3">
        <f t="shared" si="0"/>
        <v>34</v>
      </c>
      <c r="C10" s="4">
        <v>34</v>
      </c>
      <c r="D10" s="4">
        <v>0</v>
      </c>
    </row>
    <row r="11" spans="1:4" ht="22.05" customHeight="1" x14ac:dyDescent="0.3">
      <c r="A11" s="2" t="s">
        <v>12</v>
      </c>
      <c r="B11" s="3">
        <f t="shared" si="0"/>
        <v>2</v>
      </c>
      <c r="C11" s="4">
        <v>2</v>
      </c>
      <c r="D11" s="4">
        <v>0</v>
      </c>
    </row>
    <row r="12" spans="1:4" ht="22.05" customHeight="1" x14ac:dyDescent="0.3">
      <c r="A12" s="2" t="s">
        <v>13</v>
      </c>
      <c r="B12" s="3">
        <f t="shared" si="0"/>
        <v>1</v>
      </c>
      <c r="C12" s="4">
        <v>1</v>
      </c>
      <c r="D12" s="4">
        <v>0</v>
      </c>
    </row>
    <row r="13" spans="1:4" ht="22.05" customHeight="1" x14ac:dyDescent="0.3">
      <c r="A13" s="2" t="s">
        <v>14</v>
      </c>
      <c r="B13" s="3">
        <f t="shared" si="0"/>
        <v>0</v>
      </c>
      <c r="C13" s="4">
        <v>0</v>
      </c>
      <c r="D13" s="4">
        <v>0</v>
      </c>
    </row>
    <row r="15" spans="1:4" ht="15.6" x14ac:dyDescent="0.3">
      <c r="A15" s="14" t="s">
        <v>15</v>
      </c>
      <c r="B15" s="14"/>
      <c r="C15" s="14"/>
      <c r="D15" s="14"/>
    </row>
    <row r="16" spans="1:4" x14ac:dyDescent="0.3">
      <c r="A16" s="1" t="s">
        <v>2</v>
      </c>
      <c r="B16" s="1" t="s">
        <v>3</v>
      </c>
      <c r="C16" s="1" t="s">
        <v>4</v>
      </c>
      <c r="D16" s="1" t="s">
        <v>5</v>
      </c>
    </row>
    <row r="17" spans="1:4" ht="22.05" customHeight="1" x14ac:dyDescent="0.3">
      <c r="A17" s="5" t="s">
        <v>16</v>
      </c>
      <c r="B17" s="6">
        <f t="shared" ref="B17:B25" si="1">SUM(C17:D17)</f>
        <v>50230</v>
      </c>
      <c r="C17" s="7">
        <f t="shared" ref="C17:D19" si="2">C20+C23</f>
        <v>47290</v>
      </c>
      <c r="D17" s="7">
        <f t="shared" si="2"/>
        <v>2940</v>
      </c>
    </row>
    <row r="18" spans="1:4" ht="22.05" customHeight="1" x14ac:dyDescent="0.3">
      <c r="A18" s="5" t="s">
        <v>17</v>
      </c>
      <c r="B18" s="6">
        <f t="shared" si="1"/>
        <v>6436</v>
      </c>
      <c r="C18" s="7">
        <f t="shared" si="2"/>
        <v>6021</v>
      </c>
      <c r="D18" s="7">
        <f t="shared" si="2"/>
        <v>415</v>
      </c>
    </row>
    <row r="19" spans="1:4" ht="22.05" customHeight="1" x14ac:dyDescent="0.3">
      <c r="A19" s="5" t="s">
        <v>18</v>
      </c>
      <c r="B19" s="6">
        <f t="shared" si="1"/>
        <v>7605</v>
      </c>
      <c r="C19" s="7">
        <f t="shared" si="2"/>
        <v>7309</v>
      </c>
      <c r="D19" s="7">
        <f t="shared" si="2"/>
        <v>296</v>
      </c>
    </row>
    <row r="20" spans="1:4" ht="22.05" customHeight="1" x14ac:dyDescent="0.3">
      <c r="A20" s="5" t="s">
        <v>19</v>
      </c>
      <c r="B20" s="6">
        <f t="shared" si="1"/>
        <v>45360</v>
      </c>
      <c r="C20" s="7">
        <v>42420</v>
      </c>
      <c r="D20" s="7">
        <v>2940</v>
      </c>
    </row>
    <row r="21" spans="1:4" ht="22.05" customHeight="1" x14ac:dyDescent="0.3">
      <c r="A21" s="5" t="s">
        <v>20</v>
      </c>
      <c r="B21" s="6">
        <f t="shared" si="1"/>
        <v>5602</v>
      </c>
      <c r="C21" s="7">
        <v>5187</v>
      </c>
      <c r="D21" s="7">
        <v>415</v>
      </c>
    </row>
    <row r="22" spans="1:4" ht="22.05" customHeight="1" x14ac:dyDescent="0.3">
      <c r="A22" s="5" t="s">
        <v>21</v>
      </c>
      <c r="B22" s="6">
        <f t="shared" si="1"/>
        <v>6892</v>
      </c>
      <c r="C22" s="7">
        <v>6596</v>
      </c>
      <c r="D22" s="7">
        <v>296</v>
      </c>
    </row>
    <row r="23" spans="1:4" ht="22.05" customHeight="1" x14ac:dyDescent="0.3">
      <c r="A23" s="5" t="s">
        <v>22</v>
      </c>
      <c r="B23" s="6">
        <f t="shared" si="1"/>
        <v>4870</v>
      </c>
      <c r="C23" s="7">
        <v>4870</v>
      </c>
      <c r="D23" s="7">
        <v>0</v>
      </c>
    </row>
    <row r="24" spans="1:4" ht="22.05" customHeight="1" x14ac:dyDescent="0.3">
      <c r="A24" s="5" t="s">
        <v>23</v>
      </c>
      <c r="B24" s="6">
        <f t="shared" si="1"/>
        <v>834</v>
      </c>
      <c r="C24" s="7">
        <v>834</v>
      </c>
      <c r="D24" s="7">
        <v>0</v>
      </c>
    </row>
    <row r="25" spans="1:4" ht="22.05" customHeight="1" x14ac:dyDescent="0.3">
      <c r="A25" s="5" t="s">
        <v>24</v>
      </c>
      <c r="B25" s="6">
        <f t="shared" si="1"/>
        <v>713</v>
      </c>
      <c r="C25" s="7">
        <v>713</v>
      </c>
      <c r="D25" s="7">
        <v>0</v>
      </c>
    </row>
    <row r="27" spans="1:4" ht="15.6" x14ac:dyDescent="0.3">
      <c r="A27" s="16" t="s">
        <v>25</v>
      </c>
      <c r="B27" s="16"/>
      <c r="C27" s="16"/>
      <c r="D27" s="16"/>
    </row>
    <row r="28" spans="1:4" x14ac:dyDescent="0.3">
      <c r="A28" s="11" t="s">
        <v>2</v>
      </c>
      <c r="B28" s="11" t="s">
        <v>3</v>
      </c>
      <c r="C28" s="11" t="s">
        <v>4</v>
      </c>
      <c r="D28" s="11" t="s">
        <v>5</v>
      </c>
    </row>
    <row r="29" spans="1:4" ht="22.05" customHeight="1" x14ac:dyDescent="0.3">
      <c r="A29" s="8" t="s">
        <v>26</v>
      </c>
      <c r="B29" s="9">
        <f>SUM(C29:D29)</f>
        <v>10</v>
      </c>
      <c r="C29" s="10">
        <v>10</v>
      </c>
      <c r="D29" s="10">
        <v>0</v>
      </c>
    </row>
    <row r="30" spans="1:4" ht="22.05" customHeight="1" x14ac:dyDescent="0.3">
      <c r="A30" s="8" t="s">
        <v>27</v>
      </c>
      <c r="B30" s="9">
        <f>SUM(C30:D30)</f>
        <v>2</v>
      </c>
      <c r="C30" s="10">
        <v>2</v>
      </c>
      <c r="D30" s="10">
        <v>0</v>
      </c>
    </row>
    <row r="31" spans="1:4" ht="22.05" customHeight="1" x14ac:dyDescent="0.3">
      <c r="A31" s="8" t="s">
        <v>28</v>
      </c>
      <c r="B31" s="9">
        <f>SUM(C31:D31)</f>
        <v>4</v>
      </c>
      <c r="C31" s="10">
        <v>3</v>
      </c>
      <c r="D31" s="10">
        <v>1</v>
      </c>
    </row>
    <row r="33" spans="1:4" ht="34.049999999999997" customHeight="1" x14ac:dyDescent="0.3">
      <c r="A33" s="15" t="s">
        <v>29</v>
      </c>
      <c r="B33" s="15"/>
      <c r="C33" s="15"/>
      <c r="D33" s="15"/>
    </row>
  </sheetData>
  <mergeCells count="5">
    <mergeCell ref="A1:D1"/>
    <mergeCell ref="A2:D2"/>
    <mergeCell ref="A15:D15"/>
    <mergeCell ref="A27:D27"/>
    <mergeCell ref="A33:D33"/>
  </mergeCells>
  <pageMargins left="0.3" right="0.3" top="0.5" bottom="0.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abd_elghaffar</cp:lastModifiedBy>
  <dcterms:created xsi:type="dcterms:W3CDTF">2026-07-08T15:51:14Z</dcterms:created>
  <dcterms:modified xsi:type="dcterms:W3CDTF">2026-07-08T18:22:05Z</dcterms:modified>
</cp:coreProperties>
</file>